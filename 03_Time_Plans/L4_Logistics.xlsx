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4 input" sheetId="1" state="visible" r:id="rId1"/>
    <sheet name="L4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3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Normal" xfId="0" builtinId="0"/>
  </cellStyles>
  <dxfs count="74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V106"/>
  <sheetViews>
    <sheetView showGridLines="0" tabSelected="0" workbookViewId="0">
      <selection activeCell="A1" sqref="A1"/>
    </sheetView>
  </sheetViews>
  <sheetFormatPr baseColWidth="8" defaultColWidth="8.7109375" defaultRowHeight="15"/>
  <cols>
    <col width="4" customWidth="1" style="113" min="1" max="1"/>
    <col width="2.42578125" customWidth="1" style="113" min="3" max="3"/>
    <col width="5" customWidth="1" style="113" min="4" max="4"/>
    <col width="51" customWidth="1" style="113" min="5" max="5"/>
    <col width="14" customWidth="1" style="113" min="6" max="6"/>
    <col width="16" customWidth="1" style="113" min="7" max="7"/>
    <col width="8.140625" customWidth="1" style="113" min="8" max="8"/>
    <col width="12" customWidth="1" style="113" min="12" max="12"/>
    <col width="18" customWidth="1" style="113" min="13" max="13"/>
    <col width="30" customWidth="1" style="113" min="14" max="14"/>
    <col width="34" customWidth="1" style="113" min="15" max="15"/>
    <col width="4" customWidth="1" style="113" min="23" max="23"/>
    <col width="13" customWidth="1" style="113" min="24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P2" s="5" t="inlineStr">
        <is>
          <t>Start Wk</t>
        </is>
      </c>
      <c r="Q2" s="5" t="inlineStr">
        <is>
          <t>Start Yr</t>
        </is>
      </c>
      <c r="R2" s="5" t="inlineStr">
        <is>
          <t>End Wk</t>
        </is>
      </c>
      <c r="S2" s="5" t="inlineStr">
        <is>
          <t>End Yr</t>
        </is>
      </c>
      <c r="U2" s="5" t="inlineStr">
        <is>
          <t>Current Wk</t>
        </is>
      </c>
      <c r="V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P3" s="6" t="n">
        <v>1</v>
      </c>
      <c r="Q3" s="6" t="n">
        <v>2026</v>
      </c>
      <c r="R3" s="6" t="n">
        <v>52</v>
      </c>
      <c r="S3" s="6" t="n">
        <v>2030</v>
      </c>
      <c r="U3" s="6">
        <f>WEEKNUM(TODAY(),21)</f>
        <v/>
      </c>
      <c r="V3" s="6">
        <f>YEAR(TODAY())</f>
        <v/>
      </c>
    </row>
    <row r="4" ht="16.5" customHeight="1" s="113">
      <c r="B4" s="143" t="inlineStr">
        <is>
          <t>Description</t>
        </is>
      </c>
      <c r="E4" s="144" t="inlineStr">
        <is>
          <t xml:space="preserve">Material flow and logistics detail plan.</t>
        </is>
      </c>
      <c r="P4" s="122" t="inlineStr">
        <is>
          <t>Timeplan range</t>
        </is>
      </c>
      <c r="Q4" s="123" t="n"/>
      <c r="R4" s="123" t="n"/>
      <c r="S4" s="123" t="n"/>
      <c r="U4" s="122" t="inlineStr">
        <is>
          <t>Today</t>
        </is>
      </c>
      <c r="V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L4 Logistics Plan</t>
        </is>
      </c>
      <c r="F5" s="144" t="n"/>
      <c r="G5" s="143" t="inlineStr">
        <is>
          <t xml:space="preserve">Plan ID</t>
        </is>
      </c>
      <c r="H5" s="144" t="inlineStr">
        <is>
          <t xml:space="preserve">L4_Logistics</t>
        </is>
      </c>
      <c r="I5" s="144" t="n"/>
      <c r="J5" s="143" t="inlineStr">
        <is>
          <t xml:space="preserve">Last updated</t>
        </is>
      </c>
      <c r="K5" s="144" t="inlineStr">
        <is>
          <t xml:space="preserve">2026-06-20</t>
        </is>
      </c>
      <c r="L5" s="144" t="n"/>
      <c r="M5" s="144" t="n"/>
      <c r="N5" s="144" t="n"/>
      <c r="P5" s="149" t="n"/>
      <c r="Q5" s="149" t="n"/>
      <c r="R5" s="149" t="n"/>
      <c r="S5" s="149" t="n"/>
      <c r="U5" s="149" t="n"/>
      <c r="V5" s="149" t="n"/>
    </row>
    <row r="6" ht="30" customHeight="1" s="113">
      <c r="C6" s="7" t="n"/>
      <c r="D6" s="7" t="inlineStr">
        <is>
          <t>No.</t>
        </is>
      </c>
      <c r="E6" s="7" t="inlineStr">
        <is>
          <t>Activity / Event</t>
        </is>
      </c>
      <c r="F6" s="7" t="inlineStr">
        <is>
          <t>Responsible</t>
        </is>
      </c>
      <c r="G6" s="7" t="inlineStr">
        <is>
          <t>Location</t>
        </is>
      </c>
      <c r="H6" s="7" t="inlineStr">
        <is>
          <t>Start Wk</t>
        </is>
      </c>
      <c r="I6" s="7" t="inlineStr">
        <is>
          <t>Start Yr</t>
        </is>
      </c>
      <c r="J6" s="7" t="inlineStr">
        <is>
          <t>End Wk</t>
        </is>
      </c>
      <c r="K6" s="7" t="inlineStr">
        <is>
          <t>End Yr</t>
        </is>
      </c>
      <c r="L6" s="7" t="inlineStr">
        <is>
          <t>Tracker</t>
        </is>
      </c>
      <c r="M6" s="7" t="inlineStr">
        <is>
          <t>Status</t>
        </is>
      </c>
      <c r="N6" s="7" t="inlineStr">
        <is>
          <t>Comments / Notes</t>
        </is>
      </c>
      <c r="O6" s="7" t="inlineStr">
        <is>
          <t>Dependencies</t>
        </is>
      </c>
    </row>
    <row r="7" ht="19.5" customHeight="1" s="113">
      <c r="C7" s="8" t="n"/>
      <c r="D7" s="82">
        <v>1</v>
      </c>
      <c r="E7" s="83" t="inlineStr">
        <is>
          <t xml:space="preserve">Packaging concept</t>
        </is>
      </c>
      <c r="F7" s="84" t="inlineStr">
        <is>
          <t xml:space="preserve">E. Silva</t>
        </is>
      </c>
      <c r="G7" s="84" t="inlineStr">
        <is>
          <t xml:space="preserve">Greensboro</t>
        </is>
      </c>
      <c r="H7" s="84">
        <v>18</v>
      </c>
      <c r="I7" s="84">
        <v>2026</v>
      </c>
      <c r="J7" s="84">
        <v>22</v>
      </c>
      <c r="K7" s="84">
        <v>2026</v>
      </c>
      <c r="L7" s="85">
        <f>IF(E7="","",IF(M7="Completed","On Track",IF(OR(J7="",K7=""),"",IF(($V$3*100+$U$3)&gt;(K7*100+J7),"Delayed","On Track"))))</f>
        <v/>
      </c>
      <c r="M7" s="84" t="inlineStr">
        <is>
          <t xml:space="preserve">Completed</t>
        </is>
      </c>
      <c r="N7" s="86" t="inlineStr">
        <is>
          <t xml:space="preserve"/>
        </is>
      </c>
      <c r="O7" s="86" t="inlineStr">
        <is>
          <t xml:space="preserve">L2_Bodyshop-2</t>
        </is>
      </c>
    </row>
    <row r="8" ht="19.5" customHeight="1" s="113">
      <c r="C8" s="9" t="n"/>
      <c r="D8" s="10">
        <v>2</v>
      </c>
      <c r="E8" s="11" t="inlineStr">
        <is>
          <t xml:space="preserve">Inbound flow design</t>
        </is>
      </c>
      <c r="F8" s="12" t="inlineStr">
        <is>
          <t xml:space="preserve">E. Silva</t>
        </is>
      </c>
      <c r="G8" s="12" t="inlineStr">
        <is>
          <t xml:space="preserve">Greensboro</t>
        </is>
      </c>
      <c r="H8" s="12">
        <v>23</v>
      </c>
      <c r="I8" s="12">
        <v>2026</v>
      </c>
      <c r="J8" s="12">
        <v>28</v>
      </c>
      <c r="K8" s="12">
        <v>2026</v>
      </c>
      <c r="L8" s="13">
        <f>IF(E8="","",IF(M8="Completed","On Track",IF(OR(J8="",K8=""),"",IF(($V$3*100+$U$3)&gt;(K8*100+J8),"Delayed","On Track"))))</f>
        <v/>
      </c>
      <c r="M8" s="12" t="inlineStr">
        <is>
          <t xml:space="preserve">Aligned</t>
        </is>
      </c>
      <c r="N8" s="14" t="inlineStr">
        <is>
          <t xml:space="preserve"/>
        </is>
      </c>
      <c r="O8" s="14" t="inlineStr">
        <is>
          <t xml:space="preserve">L4_Logistics-1</t>
        </is>
      </c>
    </row>
    <row r="9" ht="19.5" customHeight="1" s="113">
      <c r="C9" s="15" t="n"/>
      <c r="D9" s="87">
        <v>3</v>
      </c>
      <c r="E9" s="83" t="inlineStr">
        <is>
          <t xml:space="preserve">Warehouse readiness</t>
        </is>
      </c>
      <c r="F9" s="84" t="inlineStr">
        <is>
          <t xml:space="preserve">B. Haas</t>
        </is>
      </c>
      <c r="G9" s="84" t="inlineStr">
        <is>
          <t xml:space="preserve">Greensboro</t>
        </is>
      </c>
      <c r="H9" s="84">
        <v>29</v>
      </c>
      <c r="I9" s="84">
        <v>2026</v>
      </c>
      <c r="J9" s="84">
        <v>34</v>
      </c>
      <c r="K9" s="84">
        <v>2026</v>
      </c>
      <c r="L9" s="85">
        <f>IF(E9="","",IF(M9="Completed","On Track",IF(OR(J9="",K9=""),"",IF(($V$3*100+$U$3)&gt;(K9*100+J9),"Delayed","On Track"))))</f>
        <v/>
      </c>
      <c r="M9" s="84" t="inlineStr">
        <is>
          <t xml:space="preserve">Planned</t>
        </is>
      </c>
      <c r="N9" s="86" t="inlineStr">
        <is>
          <t xml:space="preserve"/>
        </is>
      </c>
      <c r="O9" s="86" t="inlineStr">
        <is>
          <t xml:space="preserve">L4_Logistics-2</t>
        </is>
      </c>
    </row>
    <row r="10" ht="19.5" customHeight="1" s="113">
      <c r="C10" s="16" t="n"/>
      <c r="D10" s="17">
        <v>4</v>
      </c>
      <c r="E10" s="11" t="inlineStr">
        <is>
          <t xml:space="preserve">Supplier ramp plan</t>
        </is>
      </c>
      <c r="F10" s="12" t="inlineStr">
        <is>
          <t xml:space="preserve">B. Haas</t>
        </is>
      </c>
      <c r="G10" s="12" t="inlineStr">
        <is>
          <t xml:space="preserve">Remote</t>
        </is>
      </c>
      <c r="H10" s="12">
        <v>35</v>
      </c>
      <c r="I10" s="12">
        <v>2026</v>
      </c>
      <c r="J10" s="12">
        <v>40</v>
      </c>
      <c r="K10" s="12">
        <v>2026</v>
      </c>
      <c r="L10" s="13">
        <f>IF(E10="","",IF(M10="Completed","On Track",IF(OR(J10="",K10=""),"",IF(($V$3*100+$U$3)&gt;(K10*100+J10),"Delayed","On Track"))))</f>
        <v/>
      </c>
      <c r="M10" s="12" t="inlineStr">
        <is>
          <t xml:space="preserve">Risk</t>
        </is>
      </c>
      <c r="N10" s="14" t="inlineStr">
        <is>
          <t xml:space="preserve"/>
        </is>
      </c>
      <c r="O10" s="14" t="inlineStr">
        <is>
          <t xml:space="preserve">L4_Logistics-3; L5_Supplier_B-3</t>
        </is>
      </c>
    </row>
    <row r="11" ht="19.5" customHeight="1" s="113">
      <c r="C11" s="18" t="n"/>
      <c r="D11" s="88">
        <v>5</v>
      </c>
      <c r="E11" s="83" t="inlineStr">
        <is>
          <t xml:space="preserve">Logistics sign-off</t>
        </is>
      </c>
      <c r="F11" s="84" t="inlineStr">
        <is>
          <t xml:space="preserve">E. Silva</t>
        </is>
      </c>
      <c r="G11" s="84" t="inlineStr">
        <is>
          <t xml:space="preserve">Greensboro</t>
        </is>
      </c>
      <c r="H11" s="84">
        <v>42</v>
      </c>
      <c r="I11" s="84">
        <v>2026</v>
      </c>
      <c r="J11" s="84">
        <v>46</v>
      </c>
      <c r="K11" s="84">
        <v>2026</v>
      </c>
      <c r="L11" s="85">
        <f>IF(E11="","",IF(M11="Completed","On Track",IF(OR(J11="",K11=""),"",IF(($V$3*100+$U$3)&gt;(K11*100+J11),"Delayed","On Track"))))</f>
        <v/>
      </c>
      <c r="M11" s="84" t="inlineStr">
        <is>
          <t xml:space="preserve">TBD</t>
        </is>
      </c>
      <c r="N11" s="86" t="inlineStr">
        <is>
          <t xml:space="preserve"/>
        </is>
      </c>
      <c r="O11" s="86" t="inlineStr">
        <is>
          <t xml:space="preserve">L4_Logistics-4</t>
        </is>
      </c>
    </row>
    <row r="12" ht="19.5" customHeight="1" s="113">
      <c r="C12" s="19" t="n"/>
      <c r="D12" s="20" t="inlineStr">
        <is>
          <t xml:space="preserve"/>
        </is>
      </c>
      <c r="E12" s="11" t="inlineStr">
        <is>
          <t xml:space="preserve"/>
        </is>
      </c>
      <c r="F12" s="12" t="inlineStr">
        <is>
          <t xml:space="preserve"/>
        </is>
      </c>
      <c r="G12" s="12" t="inlineStr">
        <is>
          <t xml:space="preserve"/>
        </is>
      </c>
      <c r="H12" s="12" t="inlineStr">
        <is>
          <t xml:space="preserve"/>
        </is>
      </c>
      <c r="I12" s="12" t="inlineStr">
        <is>
          <t xml:space="preserve"/>
        </is>
      </c>
      <c r="J12" s="12" t="inlineStr">
        <is>
          <t xml:space="preserve"/>
        </is>
      </c>
      <c r="K12" s="12" t="inlineStr">
        <is>
          <t xml:space="preserve"/>
        </is>
      </c>
      <c r="L12" s="13">
        <f>IF(E12="","",IF(M12="Completed","On Track",IF(OR(J12="",K12=""),"",IF(($V$3*100+$U$3)&gt;(K12*100+J12),"Delayed","On Track"))))</f>
        <v/>
      </c>
      <c r="M12" s="12" t="inlineStr">
        <is>
          <t xml:space="preserve"/>
        </is>
      </c>
      <c r="N12" s="14" t="inlineStr">
        <is>
          <t xml:space="preserve"/>
        </is>
      </c>
      <c r="O12" s="14" t="inlineStr">
        <is>
          <t xml:space="preserve"/>
        </is>
      </c>
    </row>
    <row r="13" ht="19.5" customHeight="1" s="113">
      <c r="C13" s="21" t="n"/>
      <c r="D13" s="89" t="inlineStr">
        <is>
          <t xml:space="preserve"/>
        </is>
      </c>
      <c r="E13" s="83" t="inlineStr">
        <is>
          <t xml:space="preserve"/>
        </is>
      </c>
      <c r="F13" s="84" t="inlineStr">
        <is>
          <t xml:space="preserve"/>
        </is>
      </c>
      <c r="G13" s="84" t="inlineStr">
        <is>
          <t xml:space="preserve"/>
        </is>
      </c>
      <c r="H13" s="84" t="inlineStr">
        <is>
          <t xml:space="preserve"/>
        </is>
      </c>
      <c r="I13" s="84" t="inlineStr">
        <is>
          <t xml:space="preserve"/>
        </is>
      </c>
      <c r="J13" s="84" t="inlineStr">
        <is>
          <t xml:space="preserve"/>
        </is>
      </c>
      <c r="K13" s="84" t="inlineStr">
        <is>
          <t xml:space="preserve"/>
        </is>
      </c>
      <c r="L13" s="85">
        <f>IF(E13="","",IF(M13="Completed","On Track",IF(OR(J13="",K13=""),"",IF(($V$3*100+$U$3)&gt;(K13*100+J13),"Delayed","On Track"))))</f>
        <v/>
      </c>
      <c r="M13" s="84" t="inlineStr">
        <is>
          <t xml:space="preserve"/>
        </is>
      </c>
      <c r="N13" s="86" t="inlineStr">
        <is>
          <t xml:space="preserve"/>
        </is>
      </c>
      <c r="O13" s="86" t="inlineStr">
        <is>
          <t xml:space="preserve"/>
        </is>
      </c>
    </row>
    <row r="14" ht="19.5" customHeight="1" s="113">
      <c r="C14" s="174" t="n"/>
      <c r="D14" s="23" t="inlineStr">
        <is>
          <t xml:space="preserve"/>
        </is>
      </c>
      <c r="E14" s="11" t="inlineStr">
        <is>
          <t xml:space="preserve"/>
        </is>
      </c>
      <c r="F14" s="12" t="inlineStr">
        <is>
          <t xml:space="preserve"/>
        </is>
      </c>
      <c r="G14" s="12" t="inlineStr">
        <is>
          <t xml:space="preserve"/>
        </is>
      </c>
      <c r="H14" s="12" t="inlineStr">
        <is>
          <t xml:space="preserve"/>
        </is>
      </c>
      <c r="I14" s="12" t="inlineStr">
        <is>
          <t xml:space="preserve"/>
        </is>
      </c>
      <c r="J14" s="12" t="inlineStr">
        <is>
          <t xml:space="preserve"/>
        </is>
      </c>
      <c r="K14" s="12" t="inlineStr">
        <is>
          <t xml:space="preserve"/>
        </is>
      </c>
      <c r="L14" s="13">
        <f>IF(E14="","",IF(M14="Completed","On Track",IF(OR(J14="",K14=""),"",IF(($V$3*100+$U$3)&gt;(K14*100+J14),"Delayed","On Track"))))</f>
        <v/>
      </c>
      <c r="M14" s="12" t="inlineStr">
        <is>
          <t xml:space="preserve"/>
        </is>
      </c>
      <c r="N14" s="14" t="inlineStr">
        <is>
          <t xml:space="preserve"/>
        </is>
      </c>
      <c r="O14" s="14" t="inlineStr">
        <is>
          <t xml:space="preserve"/>
        </is>
      </c>
    </row>
    <row r="15" ht="19.5" customHeight="1" s="113">
      <c r="C15" s="24" t="n"/>
      <c r="D15" s="90" t="inlineStr">
        <is>
          <t xml:space="preserve"/>
        </is>
      </c>
      <c r="E15" s="83" t="inlineStr">
        <is>
          <t xml:space="preserve"/>
        </is>
      </c>
      <c r="F15" s="84" t="inlineStr">
        <is>
          <t xml:space="preserve"/>
        </is>
      </c>
      <c r="G15" s="84" t="inlineStr">
        <is>
          <t xml:space="preserve"/>
        </is>
      </c>
      <c r="H15" s="84" t="inlineStr">
        <is>
          <t xml:space="preserve"/>
        </is>
      </c>
      <c r="I15" s="84" t="inlineStr">
        <is>
          <t xml:space="preserve"/>
        </is>
      </c>
      <c r="J15" s="84" t="inlineStr">
        <is>
          <t xml:space="preserve"/>
        </is>
      </c>
      <c r="K15" s="84" t="inlineStr">
        <is>
          <t xml:space="preserve"/>
        </is>
      </c>
      <c r="L15" s="85">
        <f>IF(E15="","",IF(M15="Completed","On Track",IF(OR(J15="",K15=""),"",IF(($V$3*100+$U$3)&gt;(K15*100+J15),"Delayed","On Track"))))</f>
        <v/>
      </c>
      <c r="M15" s="84" t="inlineStr">
        <is>
          <t xml:space="preserve"/>
        </is>
      </c>
      <c r="N15" s="86" t="inlineStr">
        <is>
          <t xml:space="preserve"/>
        </is>
      </c>
      <c r="O15" s="86" t="inlineStr">
        <is>
          <t xml:space="preserve"/>
        </is>
      </c>
    </row>
    <row r="16" ht="19.5" customHeight="1" s="113">
      <c r="C16" s="25" t="n"/>
      <c r="D16" s="26" t="inlineStr">
        <is>
          <t xml:space="preserve"/>
        </is>
      </c>
      <c r="E16" s="11" t="inlineStr">
        <is>
          <t xml:space="preserve"/>
        </is>
      </c>
      <c r="F16" s="12" t="inlineStr">
        <is>
          <t xml:space="preserve"/>
        </is>
      </c>
      <c r="G16" s="12" t="inlineStr">
        <is>
          <t xml:space="preserve"/>
        </is>
      </c>
      <c r="H16" s="12" t="inlineStr">
        <is>
          <t xml:space="preserve"/>
        </is>
      </c>
      <c r="I16" s="12" t="inlineStr">
        <is>
          <t xml:space="preserve"/>
        </is>
      </c>
      <c r="J16" s="12" t="inlineStr">
        <is>
          <t xml:space="preserve"/>
        </is>
      </c>
      <c r="K16" s="12" t="inlineStr">
        <is>
          <t xml:space="preserve"/>
        </is>
      </c>
      <c r="L16" s="13">
        <f>IF(E16="","",IF(M16="Completed","On Track",IF(OR(J16="",K16=""),"",IF(($V$3*100+$U$3)&gt;(K16*100+J16),"Delayed","On Track"))))</f>
        <v/>
      </c>
      <c r="M16" s="12" t="inlineStr">
        <is>
          <t xml:space="preserve"/>
        </is>
      </c>
      <c r="N16" s="14" t="inlineStr">
        <is>
          <t xml:space="preserve"/>
        </is>
      </c>
      <c r="O16" s="14" t="inlineStr">
        <is>
          <t xml:space="preserve"/>
        </is>
      </c>
    </row>
    <row r="17" ht="19.5" customHeight="1" s="113">
      <c r="C17" s="27" t="n"/>
      <c r="D17" s="91" t="inlineStr">
        <is>
          <t xml:space="preserve"/>
        </is>
      </c>
      <c r="E17" s="83" t="inlineStr">
        <is>
          <t xml:space="preserve"/>
        </is>
      </c>
      <c r="F17" s="84" t="inlineStr">
        <is>
          <t xml:space="preserve"/>
        </is>
      </c>
      <c r="G17" s="84" t="inlineStr">
        <is>
          <t xml:space="preserve"/>
        </is>
      </c>
      <c r="H17" s="84" t="inlineStr">
        <is>
          <t xml:space="preserve"/>
        </is>
      </c>
      <c r="I17" s="84" t="inlineStr">
        <is>
          <t xml:space="preserve"/>
        </is>
      </c>
      <c r="J17" s="84" t="inlineStr">
        <is>
          <t xml:space="preserve"/>
        </is>
      </c>
      <c r="K17" s="84" t="inlineStr">
        <is>
          <t xml:space="preserve"/>
        </is>
      </c>
      <c r="L17" s="85">
        <f>IF(E17="","",IF(M17="Completed","On Track",IF(OR(J17="",K17=""),"",IF(($V$3*100+$U$3)&gt;(K17*100+J17),"Delayed","On Track"))))</f>
        <v/>
      </c>
      <c r="M17" s="84" t="inlineStr">
        <is>
          <t xml:space="preserve"/>
        </is>
      </c>
      <c r="N17" s="86" t="inlineStr">
        <is>
          <t xml:space="preserve"/>
        </is>
      </c>
      <c r="O17" s="86" t="inlineStr">
        <is>
          <t xml:space="preserve"/>
        </is>
      </c>
    </row>
    <row r="18" ht="19.5" customHeight="1" s="113">
      <c r="C18" s="28" t="n"/>
      <c r="D18" s="29" t="inlineStr">
        <is>
          <t xml:space="preserve"/>
        </is>
      </c>
      <c r="E18" s="11" t="inlineStr">
        <is>
          <t xml:space="preserve"/>
        </is>
      </c>
      <c r="F18" s="12" t="inlineStr">
        <is>
          <t xml:space="preserve"/>
        </is>
      </c>
      <c r="G18" s="12" t="inlineStr">
        <is>
          <t xml:space="preserve"/>
        </is>
      </c>
      <c r="H18" s="12" t="inlineStr">
        <is>
          <t xml:space="preserve"/>
        </is>
      </c>
      <c r="I18" s="12" t="inlineStr">
        <is>
          <t xml:space="preserve"/>
        </is>
      </c>
      <c r="J18" s="12" t="inlineStr">
        <is>
          <t xml:space="preserve"/>
        </is>
      </c>
      <c r="K18" s="12" t="inlineStr">
        <is>
          <t xml:space="preserve"/>
        </is>
      </c>
      <c r="L18" s="13">
        <f>IF(E18="","",IF(M18="Completed","On Track",IF(OR(J18="",K18=""),"",IF(($V$3*100+$U$3)&gt;(K18*100+J18),"Delayed","On Track"))))</f>
        <v/>
      </c>
      <c r="M18" s="12" t="inlineStr">
        <is>
          <t xml:space="preserve"/>
        </is>
      </c>
      <c r="N18" s="14" t="inlineStr">
        <is>
          <t xml:space="preserve"/>
        </is>
      </c>
      <c r="O18" s="14" t="inlineStr">
        <is>
          <t xml:space="preserve"/>
        </is>
      </c>
    </row>
    <row r="19" ht="19.5" customHeight="1" s="113">
      <c r="C19" s="30" t="n"/>
      <c r="D19" s="92" t="inlineStr">
        <is>
          <t xml:space="preserve"/>
        </is>
      </c>
      <c r="E19" s="83" t="inlineStr">
        <is>
          <t xml:space="preserve"/>
        </is>
      </c>
      <c r="F19" s="84" t="inlineStr">
        <is>
          <t xml:space="preserve"/>
        </is>
      </c>
      <c r="G19" s="84" t="inlineStr">
        <is>
          <t xml:space="preserve"/>
        </is>
      </c>
      <c r="H19" s="84" t="inlineStr">
        <is>
          <t xml:space="preserve"/>
        </is>
      </c>
      <c r="I19" s="84" t="inlineStr">
        <is>
          <t xml:space="preserve"/>
        </is>
      </c>
      <c r="J19" s="84" t="inlineStr">
        <is>
          <t xml:space="preserve"/>
        </is>
      </c>
      <c r="K19" s="84" t="inlineStr">
        <is>
          <t xml:space="preserve"/>
        </is>
      </c>
      <c r="L19" s="85">
        <f>IF(E19="","",IF(M19="Completed","On Track",IF(OR(J19="",K19=""),"",IF(($V$3*100+$U$3)&gt;(K19*100+J19),"Delayed","On Track"))))</f>
        <v/>
      </c>
      <c r="M19" s="84" t="inlineStr">
        <is>
          <t xml:space="preserve"/>
        </is>
      </c>
      <c r="N19" s="86" t="inlineStr">
        <is>
          <t xml:space="preserve"/>
        </is>
      </c>
      <c r="O19" s="86" t="inlineStr">
        <is>
          <t xml:space="preserve"/>
        </is>
      </c>
    </row>
    <row r="20" ht="19.5" customHeight="1" s="113">
      <c r="C20" s="31" t="n"/>
      <c r="D20" s="32" t="inlineStr">
        <is>
          <t xml:space="preserve"/>
        </is>
      </c>
      <c r="E20" s="11" t="inlineStr">
        <is>
          <t xml:space="preserve"/>
        </is>
      </c>
      <c r="F20" s="12" t="inlineStr">
        <is>
          <t xml:space="preserve"/>
        </is>
      </c>
      <c r="G20" s="12" t="inlineStr">
        <is>
          <t xml:space="preserve"/>
        </is>
      </c>
      <c r="H20" s="12" t="inlineStr">
        <is>
          <t xml:space="preserve"/>
        </is>
      </c>
      <c r="I20" s="12" t="inlineStr">
        <is>
          <t xml:space="preserve"/>
        </is>
      </c>
      <c r="J20" s="12" t="inlineStr">
        <is>
          <t xml:space="preserve"/>
        </is>
      </c>
      <c r="K20" s="12" t="inlineStr">
        <is>
          <t xml:space="preserve"/>
        </is>
      </c>
      <c r="L20" s="13">
        <f>IF(E20="","",IF(M20="Completed","On Track",IF(OR(J20="",K20=""),"",IF(($V$3*100+$U$3)&gt;(K20*100+J20),"Delayed","On Track"))))</f>
        <v/>
      </c>
      <c r="M20" s="12" t="inlineStr">
        <is>
          <t xml:space="preserve"/>
        </is>
      </c>
      <c r="N20" s="14" t="inlineStr">
        <is>
          <t xml:space="preserve"/>
        </is>
      </c>
      <c r="O20" s="14" t="inlineStr">
        <is>
          <t xml:space="preserve"/>
        </is>
      </c>
    </row>
    <row r="21" ht="19.5" customHeight="1" s="113">
      <c r="C21" s="33" t="n"/>
      <c r="D21" s="93" t="inlineStr">
        <is>
          <t xml:space="preserve"/>
        </is>
      </c>
      <c r="E21" s="83" t="inlineStr">
        <is>
          <t xml:space="preserve"/>
        </is>
      </c>
      <c r="F21" s="84" t="inlineStr">
        <is>
          <t xml:space="preserve"/>
        </is>
      </c>
      <c r="G21" s="84" t="inlineStr">
        <is>
          <t xml:space="preserve"/>
        </is>
      </c>
      <c r="H21" s="84" t="inlineStr">
        <is>
          <t xml:space="preserve"/>
        </is>
      </c>
      <c r="I21" s="84" t="inlineStr">
        <is>
          <t xml:space="preserve"/>
        </is>
      </c>
      <c r="J21" s="84" t="inlineStr">
        <is>
          <t xml:space="preserve"/>
        </is>
      </c>
      <c r="K21" s="84" t="inlineStr">
        <is>
          <t xml:space="preserve"/>
        </is>
      </c>
      <c r="L21" s="85">
        <f>IF(E21="","",IF(M21="Completed","On Track",IF(OR(J21="",K21=""),"",IF(($V$3*100+$U$3)&gt;(K21*100+J21),"Delayed","On Track"))))</f>
        <v/>
      </c>
      <c r="M21" s="84" t="inlineStr">
        <is>
          <t xml:space="preserve"/>
        </is>
      </c>
      <c r="N21" s="86" t="inlineStr">
        <is>
          <t xml:space="preserve"/>
        </is>
      </c>
      <c r="O21" s="86" t="inlineStr">
        <is>
          <t xml:space="preserve"/>
        </is>
      </c>
    </row>
    <row r="22" ht="19.5" customHeight="1" s="113">
      <c r="C22" s="34" t="n"/>
      <c r="D22" s="35" t="n">
        <v>16</v>
      </c>
      <c r="E22" s="11" t="n"/>
      <c r="F22" s="12" t="n"/>
      <c r="G22" s="12" t="n"/>
      <c r="H22" s="12" t="n"/>
      <c r="I22" s="12" t="n"/>
      <c r="J22" s="12" t="n"/>
      <c r="K22" s="12" t="n"/>
      <c r="L22" s="13">
        <f>IF(E22="","",IF(M22="Completed","On Track",IF(OR(J22="",K22=""),"",IF(($V$3*100+$U$3)&gt;(K22*100+J22),"Delayed","On Track"))))</f>
        <v/>
      </c>
      <c r="M22" s="12" t="n"/>
      <c r="N22" s="14" t="n"/>
      <c r="O22" s="14" t="n"/>
    </row>
    <row r="23" ht="19.5" customHeight="1" s="113">
      <c r="C23" s="36" t="n"/>
      <c r="D23" s="94" t="n">
        <v>17</v>
      </c>
      <c r="E23" s="83" t="n"/>
      <c r="F23" s="84" t="n"/>
      <c r="G23" s="84" t="n"/>
      <c r="H23" s="84" t="n"/>
      <c r="I23" s="84" t="n"/>
      <c r="J23" s="84" t="n"/>
      <c r="K23" s="84" t="n"/>
      <c r="L23" s="85">
        <f>IF(E23="","",IF(M23="Completed","On Track",IF(OR(J23="",K23=""),"",IF(($V$3*100+$U$3)&gt;(K23*100+J23),"Delayed","On Track"))))</f>
        <v/>
      </c>
      <c r="M23" s="84" t="n"/>
      <c r="N23" s="86" t="n"/>
      <c r="O23" s="86" t="n"/>
    </row>
    <row r="24" ht="19.5" customHeight="1" s="113">
      <c r="C24" s="37" t="n"/>
      <c r="D24" s="38" t="n">
        <v>18</v>
      </c>
      <c r="E24" s="11" t="n"/>
      <c r="F24" s="12" t="n"/>
      <c r="G24" s="12" t="n"/>
      <c r="H24" s="12" t="n"/>
      <c r="I24" s="12" t="n"/>
      <c r="J24" s="12" t="n"/>
      <c r="K24" s="12" t="n"/>
      <c r="L24" s="13">
        <f>IF(E24="","",IF(M24="Completed","On Track",IF(OR(J24="",K24=""),"",IF(($V$3*100+$U$3)&gt;(K24*100+J24),"Delayed","On Track"))))</f>
        <v/>
      </c>
      <c r="M24" s="12" t="n"/>
      <c r="N24" s="14" t="n"/>
      <c r="O24" s="14" t="n"/>
    </row>
    <row r="25" ht="19.5" customHeight="1" s="113">
      <c r="C25" s="39" t="n"/>
      <c r="D25" s="95" t="n">
        <v>19</v>
      </c>
      <c r="E25" s="83" t="n"/>
      <c r="F25" s="84" t="n"/>
      <c r="G25" s="84" t="n"/>
      <c r="H25" s="84" t="n"/>
      <c r="I25" s="84" t="n"/>
      <c r="J25" s="84" t="n"/>
      <c r="K25" s="84" t="n"/>
      <c r="L25" s="85">
        <f>IF(E25="","",IF(M25="Completed","On Track",IF(OR(J25="",K25=""),"",IF(($V$3*100+$U$3)&gt;(K25*100+J25),"Delayed","On Track"))))</f>
        <v/>
      </c>
      <c r="M25" s="84" t="n"/>
      <c r="N25" s="86" t="n"/>
      <c r="O25" s="86" t="n"/>
    </row>
    <row r="26" ht="19.5" customHeight="1" s="113">
      <c r="C26" s="40" t="n"/>
      <c r="D26" s="41" t="n">
        <v>20</v>
      </c>
      <c r="E26" s="11" t="n"/>
      <c r="F26" s="12" t="n"/>
      <c r="G26" s="12" t="n"/>
      <c r="H26" s="12" t="n"/>
      <c r="I26" s="12" t="n"/>
      <c r="J26" s="12" t="n"/>
      <c r="K26" s="12" t="n"/>
      <c r="L26" s="13">
        <f>IF(E26="","",IF(M26="Completed","On Track",IF(OR(J26="",K26=""),"",IF(($V$3*100+$U$3)&gt;(K26*100+J26),"Delayed","On Track"))))</f>
        <v/>
      </c>
      <c r="M26" s="12" t="n"/>
      <c r="N26" s="14" t="n"/>
      <c r="O26" s="14" t="n"/>
    </row>
    <row r="27" ht="19.5" customHeight="1" s="113">
      <c r="C27" s="42" t="n"/>
      <c r="D27" s="96" t="n">
        <v>21</v>
      </c>
      <c r="E27" s="83" t="n"/>
      <c r="F27" s="84" t="n"/>
      <c r="G27" s="84" t="n"/>
      <c r="H27" s="84" t="n"/>
      <c r="I27" s="84" t="n"/>
      <c r="J27" s="84" t="n"/>
      <c r="K27" s="84" t="n"/>
      <c r="L27" s="85">
        <f>IF(E27="","",IF(M27="Completed","On Track",IF(OR(J27="",K27=""),"",IF(($V$3*100+$U$3)&gt;(K27*100+J27),"Delayed","On Track"))))</f>
        <v/>
      </c>
      <c r="M27" s="84" t="n"/>
      <c r="N27" s="86" t="n"/>
      <c r="O27" s="86" t="n"/>
    </row>
    <row r="28" ht="19.5" customHeight="1" s="113">
      <c r="C28" s="175" t="n"/>
      <c r="D28" s="44" t="n">
        <v>22</v>
      </c>
      <c r="E28" s="11" t="n"/>
      <c r="F28" s="12" t="n"/>
      <c r="G28" s="12" t="n"/>
      <c r="H28" s="12" t="n"/>
      <c r="I28" s="12" t="n"/>
      <c r="J28" s="12" t="n"/>
      <c r="K28" s="12" t="n"/>
      <c r="L28" s="13">
        <f>IF(E28="","",IF(M28="Completed","On Track",IF(OR(J28="",K28=""),"",IF(($V$3*100+$U$3)&gt;(K28*100+J28),"Delayed","On Track"))))</f>
        <v/>
      </c>
      <c r="M28" s="12" t="n"/>
      <c r="N28" s="14" t="n"/>
      <c r="O28" s="14" t="n"/>
    </row>
    <row r="29" ht="19.5" customHeight="1" s="113">
      <c r="C29" s="176" t="n"/>
      <c r="D29" s="97" t="n">
        <v>23</v>
      </c>
      <c r="E29" s="83" t="n"/>
      <c r="F29" s="84" t="n"/>
      <c r="G29" s="84" t="n"/>
      <c r="H29" s="84" t="n"/>
      <c r="I29" s="84" t="n"/>
      <c r="J29" s="84" t="n"/>
      <c r="K29" s="84" t="n"/>
      <c r="L29" s="85">
        <f>IF(E29="","",IF(M29="Completed","On Track",IF(OR(J29="",K29=""),"",IF(($V$3*100+$U$3)&gt;(K29*100+J29),"Delayed","On Track"))))</f>
        <v/>
      </c>
      <c r="M29" s="84" t="n"/>
      <c r="N29" s="86" t="n"/>
      <c r="O29" s="86" t="n"/>
    </row>
    <row r="30" ht="19.5" customHeight="1" s="113">
      <c r="C30" s="46" t="n"/>
      <c r="D30" s="47" t="n">
        <v>24</v>
      </c>
      <c r="E30" s="11" t="n"/>
      <c r="F30" s="12" t="n"/>
      <c r="G30" s="12" t="n"/>
      <c r="H30" s="12" t="n"/>
      <c r="I30" s="12" t="n"/>
      <c r="J30" s="12" t="n"/>
      <c r="K30" s="12" t="n"/>
      <c r="L30" s="13">
        <f>IF(E30="","",IF(M30="Completed","On Track",IF(OR(J30="",K30=""),"",IF(($V$3*100+$U$3)&gt;(K30*100+J30),"Delayed","On Track"))))</f>
        <v/>
      </c>
      <c r="M30" s="12" t="n"/>
      <c r="N30" s="14" t="n"/>
      <c r="O30" s="14" t="n"/>
    </row>
    <row r="31" ht="19.5" customHeight="1" s="113">
      <c r="C31" s="48" t="n"/>
      <c r="D31" s="98" t="n">
        <v>25</v>
      </c>
      <c r="E31" s="83" t="n"/>
      <c r="F31" s="84" t="n"/>
      <c r="G31" s="84" t="n"/>
      <c r="H31" s="84" t="n"/>
      <c r="I31" s="84" t="n"/>
      <c r="J31" s="84" t="n"/>
      <c r="K31" s="84" t="n"/>
      <c r="L31" s="85">
        <f>IF(E31="","",IF(M31="Completed","On Track",IF(OR(J31="",K31=""),"",IF(($V$3*100+$U$3)&gt;(K31*100+J31),"Delayed","On Track"))))</f>
        <v/>
      </c>
      <c r="M31" s="84" t="n"/>
      <c r="N31" s="86" t="n"/>
      <c r="O31" s="86" t="n"/>
    </row>
    <row r="32" ht="19.5" customHeight="1" s="113">
      <c r="C32" s="177" t="n"/>
      <c r="D32" s="50" t="n">
        <v>26</v>
      </c>
      <c r="E32" s="11" t="n"/>
      <c r="F32" s="12" t="n"/>
      <c r="G32" s="12" t="n"/>
      <c r="H32" s="12" t="n"/>
      <c r="I32" s="12" t="n"/>
      <c r="J32" s="12" t="n"/>
      <c r="K32" s="12" t="n"/>
      <c r="L32" s="13">
        <f>IF(E32="","",IF(M32="Completed","On Track",IF(OR(J32="",K32=""),"",IF(($V$3*100+$U$3)&gt;(K32*100+J32),"Delayed","On Track"))))</f>
        <v/>
      </c>
      <c r="M32" s="12" t="n"/>
      <c r="N32" s="14" t="n"/>
      <c r="O32" s="14" t="n"/>
    </row>
    <row r="33" ht="19.5" customHeight="1" s="113">
      <c r="C33" s="51" t="n"/>
      <c r="D33" s="99" t="n">
        <v>27</v>
      </c>
      <c r="E33" s="83" t="n"/>
      <c r="F33" s="84" t="n"/>
      <c r="G33" s="84" t="n"/>
      <c r="H33" s="84" t="n"/>
      <c r="I33" s="84" t="n"/>
      <c r="J33" s="84" t="n"/>
      <c r="K33" s="84" t="n"/>
      <c r="L33" s="85">
        <f>IF(E33="","",IF(M33="Completed","On Track",IF(OR(J33="",K33=""),"",IF(($V$3*100+$U$3)&gt;(K33*100+J33),"Delayed","On Track"))))</f>
        <v/>
      </c>
      <c r="M33" s="84" t="n"/>
      <c r="N33" s="86" t="n"/>
      <c r="O33" s="86" t="n"/>
    </row>
    <row r="34" ht="19.5" customHeight="1" s="113">
      <c r="C34" s="52" t="n"/>
      <c r="D34" s="53" t="n">
        <v>28</v>
      </c>
      <c r="E34" s="11" t="n"/>
      <c r="F34" s="12" t="n"/>
      <c r="G34" s="12" t="n"/>
      <c r="H34" s="12" t="n"/>
      <c r="I34" s="12" t="n"/>
      <c r="J34" s="12" t="n"/>
      <c r="K34" s="12" t="n"/>
      <c r="L34" s="13">
        <f>IF(E34="","",IF(M34="Completed","On Track",IF(OR(J34="",K34=""),"",IF(($V$3*100+$U$3)&gt;(K34*100+J34),"Delayed","On Track"))))</f>
        <v/>
      </c>
      <c r="M34" s="12" t="n"/>
      <c r="N34" s="14" t="n"/>
      <c r="O34" s="14" t="n"/>
    </row>
    <row r="35" ht="19.5" customHeight="1" s="113">
      <c r="C35" s="54" t="n"/>
      <c r="D35" s="100" t="n">
        <v>29</v>
      </c>
      <c r="E35" s="83" t="n"/>
      <c r="F35" s="84" t="n"/>
      <c r="G35" s="84" t="n"/>
      <c r="H35" s="84" t="n"/>
      <c r="I35" s="84" t="n"/>
      <c r="J35" s="84" t="n"/>
      <c r="K35" s="84" t="n"/>
      <c r="L35" s="85">
        <f>IF(E35="","",IF(M35="Completed","On Track",IF(OR(J35="",K35=""),"",IF(($V$3*100+$U$3)&gt;(K35*100+J35),"Delayed","On Track"))))</f>
        <v/>
      </c>
      <c r="M35" s="84" t="n"/>
      <c r="N35" s="86" t="n"/>
      <c r="O35" s="86" t="n"/>
    </row>
    <row r="36" ht="19.5" customHeight="1" s="113">
      <c r="C36" s="178" t="n"/>
      <c r="D36" s="56" t="n">
        <v>30</v>
      </c>
      <c r="E36" s="11" t="n"/>
      <c r="F36" s="12" t="n"/>
      <c r="G36" s="12" t="n"/>
      <c r="H36" s="12" t="n"/>
      <c r="I36" s="12" t="n"/>
      <c r="J36" s="12" t="n"/>
      <c r="K36" s="12" t="n"/>
      <c r="L36" s="13">
        <f>IF(E36="","",IF(M36="Completed","On Track",IF(OR(J36="",K36=""),"",IF(($V$3*100+$U$3)&gt;(K36*100+J36),"Delayed","On Track"))))</f>
        <v/>
      </c>
      <c r="M36" s="12" t="n"/>
      <c r="N36" s="14" t="n"/>
      <c r="O36" s="14" t="n"/>
    </row>
    <row r="37" ht="19.5" customHeight="1" s="113">
      <c r="C37" s="179" t="n"/>
      <c r="D37" s="101" t="n">
        <v>31</v>
      </c>
      <c r="E37" s="83" t="n"/>
      <c r="F37" s="84" t="n"/>
      <c r="G37" s="84" t="n"/>
      <c r="H37" s="84" t="n"/>
      <c r="I37" s="84" t="n"/>
      <c r="J37" s="84" t="n"/>
      <c r="K37" s="84" t="n"/>
      <c r="L37" s="85">
        <f>IF(E37="","",IF(M37="Completed","On Track",IF(OR(J37="",K37=""),"",IF(($V$3*100+$U$3)&gt;(K37*100+J37),"Delayed","On Track"))))</f>
        <v/>
      </c>
      <c r="M37" s="84" t="n"/>
      <c r="N37" s="86" t="n"/>
      <c r="O37" s="86" t="n"/>
    </row>
    <row r="38" ht="19.5" customHeight="1" s="113">
      <c r="C38" s="28" t="n"/>
      <c r="D38" s="29" t="n">
        <v>32</v>
      </c>
      <c r="E38" s="11" t="n"/>
      <c r="F38" s="12" t="n"/>
      <c r="G38" s="12" t="n"/>
      <c r="H38" s="12" t="n"/>
      <c r="I38" s="12" t="n"/>
      <c r="J38" s="12" t="n"/>
      <c r="K38" s="12" t="n"/>
      <c r="L38" s="13">
        <f>IF(E38="","",IF(M38="Completed","On Track",IF(OR(J38="",K38=""),"",IF(($V$3*100+$U$3)&gt;(K38*100+J38),"Delayed","On Track"))))</f>
        <v/>
      </c>
      <c r="M38" s="12" t="n"/>
      <c r="N38" s="14" t="n"/>
      <c r="O38" s="14" t="n"/>
    </row>
    <row r="39" ht="19.5" customHeight="1" s="113">
      <c r="C39" s="58" t="n"/>
      <c r="D39" s="102" t="n">
        <v>33</v>
      </c>
      <c r="E39" s="83" t="n"/>
      <c r="F39" s="84" t="n"/>
      <c r="G39" s="84" t="n"/>
      <c r="H39" s="84" t="n"/>
      <c r="I39" s="84" t="n"/>
      <c r="J39" s="84" t="n"/>
      <c r="K39" s="84" t="n"/>
      <c r="L39" s="85">
        <f>IF(E39="","",IF(M39="Completed","On Track",IF(OR(J39="",K39=""),"",IF(($V$3*100+$U$3)&gt;(K39*100+J39),"Delayed","On Track"))))</f>
        <v/>
      </c>
      <c r="M39" s="84" t="n"/>
      <c r="N39" s="86" t="n"/>
      <c r="O39" s="86" t="n"/>
    </row>
    <row r="40" ht="19.5" customHeight="1" s="113">
      <c r="C40" s="180" t="n"/>
      <c r="D40" s="60" t="n">
        <v>34</v>
      </c>
      <c r="E40" s="11" t="n"/>
      <c r="F40" s="12" t="n"/>
      <c r="G40" s="12" t="n"/>
      <c r="H40" s="12" t="n"/>
      <c r="I40" s="12" t="n"/>
      <c r="J40" s="12" t="n"/>
      <c r="K40" s="12" t="n"/>
      <c r="L40" s="13">
        <f>IF(E40="","",IF(M40="Completed","On Track",IF(OR(J40="",K40=""),"",IF(($V$3*100+$U$3)&gt;(K40*100+J40),"Delayed","On Track"))))</f>
        <v/>
      </c>
      <c r="M40" s="12" t="n"/>
      <c r="N40" s="14" t="n"/>
      <c r="O40" s="14" t="n"/>
    </row>
    <row r="41" ht="19.5" customHeight="1" s="113">
      <c r="C41" s="61" t="n"/>
      <c r="D41" s="103" t="n">
        <v>35</v>
      </c>
      <c r="E41" s="83" t="n"/>
      <c r="F41" s="84" t="n"/>
      <c r="G41" s="84" t="n"/>
      <c r="H41" s="84" t="n"/>
      <c r="I41" s="84" t="n"/>
      <c r="J41" s="84" t="n"/>
      <c r="K41" s="84" t="n"/>
      <c r="L41" s="85">
        <f>IF(E41="","",IF(M41="Completed","On Track",IF(OR(J41="",K41=""),"",IF(($V$3*100+$U$3)&gt;(K41*100+J41),"Delayed","On Track"))))</f>
        <v/>
      </c>
      <c r="M41" s="84" t="n"/>
      <c r="N41" s="86" t="n"/>
      <c r="O41" s="86" t="n"/>
    </row>
    <row r="42" ht="19.5" customHeight="1" s="113">
      <c r="C42" s="62" t="n"/>
      <c r="D42" s="63" t="n">
        <v>36</v>
      </c>
      <c r="E42" s="11" t="n"/>
      <c r="F42" s="12" t="n"/>
      <c r="G42" s="12" t="n"/>
      <c r="H42" s="12" t="n"/>
      <c r="I42" s="12" t="n"/>
      <c r="J42" s="12" t="n"/>
      <c r="K42" s="12" t="n"/>
      <c r="L42" s="13">
        <f>IF(E42="","",IF(M42="Completed","On Track",IF(OR(J42="",K42=""),"",IF(($V$3*100+$U$3)&gt;(K42*100+J42),"Delayed","On Track"))))</f>
        <v/>
      </c>
      <c r="M42" s="12" t="n"/>
      <c r="N42" s="14" t="n"/>
      <c r="O42" s="14" t="n"/>
    </row>
    <row r="43" ht="19.5" customHeight="1" s="113">
      <c r="C43" s="181" t="n"/>
      <c r="D43" s="104" t="n">
        <v>37</v>
      </c>
      <c r="E43" s="83" t="n"/>
      <c r="F43" s="84" t="n"/>
      <c r="G43" s="84" t="n"/>
      <c r="H43" s="84" t="n"/>
      <c r="I43" s="84" t="n"/>
      <c r="J43" s="84" t="n"/>
      <c r="K43" s="84" t="n"/>
      <c r="L43" s="85">
        <f>IF(E43="","",IF(M43="Completed","On Track",IF(OR(J43="",K43=""),"",IF(($V$3*100+$U$3)&gt;(K43*100+J43),"Delayed","On Track"))))</f>
        <v/>
      </c>
      <c r="M43" s="84" t="n"/>
      <c r="N43" s="86" t="n"/>
      <c r="O43" s="86" t="n"/>
    </row>
    <row r="44" ht="19.5" customHeight="1" s="113">
      <c r="C44" s="15" t="n"/>
      <c r="D44" s="65" t="n">
        <v>38</v>
      </c>
      <c r="E44" s="11" t="n"/>
      <c r="F44" s="12" t="n"/>
      <c r="G44" s="12" t="n"/>
      <c r="H44" s="12" t="n"/>
      <c r="I44" s="12" t="n"/>
      <c r="J44" s="12" t="n"/>
      <c r="K44" s="12" t="n"/>
      <c r="L44" s="13">
        <f>IF(E44="","",IF(M44="Completed","On Track",IF(OR(J44="",K44=""),"",IF(($V$3*100+$U$3)&gt;(K44*100+J44),"Delayed","On Track"))))</f>
        <v/>
      </c>
      <c r="M44" s="12" t="n"/>
      <c r="N44" s="14" t="n"/>
      <c r="O44" s="14" t="n"/>
    </row>
    <row r="45" ht="19.5" customHeight="1" s="113">
      <c r="C45" s="9" t="n"/>
      <c r="D45" s="105" t="n">
        <v>39</v>
      </c>
      <c r="E45" s="83" t="n"/>
      <c r="F45" s="84" t="n"/>
      <c r="G45" s="84" t="n"/>
      <c r="H45" s="84" t="n"/>
      <c r="I45" s="84" t="n"/>
      <c r="J45" s="84" t="n"/>
      <c r="K45" s="84" t="n"/>
      <c r="L45" s="85">
        <f>IF(E45="","",IF(M45="Completed","On Track",IF(OR(J45="",K45=""),"",IF(($V$3*100+$U$3)&gt;(K45*100+J45),"Delayed","On Track"))))</f>
        <v/>
      </c>
      <c r="M45" s="84" t="n"/>
      <c r="N45" s="86" t="n"/>
      <c r="O45" s="86" t="n"/>
    </row>
    <row r="46" ht="19.5" customHeight="1" s="113">
      <c r="C46" s="8" t="n"/>
      <c r="D46" s="66" t="n">
        <v>40</v>
      </c>
      <c r="E46" s="11" t="n"/>
      <c r="F46" s="12" t="n"/>
      <c r="G46" s="12" t="n"/>
      <c r="H46" s="12" t="n"/>
      <c r="I46" s="12" t="n"/>
      <c r="J46" s="12" t="n"/>
      <c r="K46" s="12" t="n"/>
      <c r="L46" s="13">
        <f>IF(E46="","",IF(M46="Completed","On Track",IF(OR(J46="",K46=""),"",IF(($V$3*100+$U$3)&gt;(K46*100+J46),"Delayed","On Track"))))</f>
        <v/>
      </c>
      <c r="M46" s="12" t="n"/>
      <c r="N46" s="14" t="n"/>
      <c r="O46" s="14" t="n"/>
    </row>
    <row r="47" ht="19.5" customHeight="1" s="113">
      <c r="C47" s="34" t="n"/>
      <c r="D47" s="106" t="n">
        <v>41</v>
      </c>
      <c r="E47" s="83" t="n"/>
      <c r="F47" s="84" t="n"/>
      <c r="G47" s="84" t="n"/>
      <c r="H47" s="84" t="n"/>
      <c r="I47" s="84" t="n"/>
      <c r="J47" s="84" t="n"/>
      <c r="K47" s="84" t="n"/>
      <c r="L47" s="85">
        <f>IF(E47="","",IF(M47="Completed","On Track",IF(OR(J47="",K47=""),"",IF(($V$3*100+$U$3)&gt;(K47*100+J47),"Delayed","On Track"))))</f>
        <v/>
      </c>
      <c r="M47" s="84" t="n"/>
      <c r="N47" s="86" t="n"/>
      <c r="O47" s="86" t="n"/>
    </row>
    <row r="48" ht="19.5" customHeight="1" s="113">
      <c r="C48" s="18" t="n"/>
      <c r="D48" s="67" t="n">
        <v>42</v>
      </c>
      <c r="E48" s="11" t="n"/>
      <c r="F48" s="12" t="n"/>
      <c r="G48" s="12" t="n"/>
      <c r="H48" s="12" t="n"/>
      <c r="I48" s="12" t="n"/>
      <c r="J48" s="12" t="n"/>
      <c r="K48" s="12" t="n"/>
      <c r="L48" s="13">
        <f>IF(E48="","",IF(M48="Completed","On Track",IF(OR(J48="",K48=""),"",IF(($V$3*100+$U$3)&gt;(K48*100+J48),"Delayed","On Track"))))</f>
        <v/>
      </c>
      <c r="M48" s="12" t="n"/>
      <c r="N48" s="14" t="n"/>
      <c r="O48" s="14" t="n"/>
    </row>
    <row r="49" ht="19.5" customHeight="1" s="113">
      <c r="C49" s="21" t="n"/>
      <c r="D49" s="89" t="n">
        <v>43</v>
      </c>
      <c r="E49" s="83" t="n"/>
      <c r="F49" s="84" t="n"/>
      <c r="G49" s="84" t="n"/>
      <c r="H49" s="84" t="n"/>
      <c r="I49" s="84" t="n"/>
      <c r="J49" s="84" t="n"/>
      <c r="K49" s="84" t="n"/>
      <c r="L49" s="85">
        <f>IF(E49="","",IF(M49="Completed","On Track",IF(OR(J49="",K49=""),"",IF(($V$3*100+$U$3)&gt;(K49*100+J49),"Delayed","On Track"))))</f>
        <v/>
      </c>
      <c r="M49" s="84" t="n"/>
      <c r="N49" s="86" t="n"/>
      <c r="O49" s="86" t="n"/>
    </row>
    <row r="50" ht="19.5" customHeight="1" s="113">
      <c r="C50" s="24" t="n"/>
      <c r="D50" s="68" t="n">
        <v>44</v>
      </c>
      <c r="E50" s="11" t="n"/>
      <c r="F50" s="12" t="n"/>
      <c r="G50" s="12" t="n"/>
      <c r="H50" s="12" t="n"/>
      <c r="I50" s="12" t="n"/>
      <c r="J50" s="12" t="n"/>
      <c r="K50" s="12" t="n"/>
      <c r="L50" s="13">
        <f>IF(E50="","",IF(M50="Completed","On Track",IF(OR(J50="",K50=""),"",IF(($V$3*100+$U$3)&gt;(K50*100+J50),"Delayed","On Track"))))</f>
        <v/>
      </c>
      <c r="M50" s="12" t="n"/>
      <c r="N50" s="14" t="n"/>
      <c r="O50" s="14" t="n"/>
    </row>
    <row r="51" ht="19.5" customHeight="1" s="113">
      <c r="C51" s="25" t="n"/>
      <c r="D51" s="107" t="n">
        <v>45</v>
      </c>
      <c r="E51" s="83" t="n"/>
      <c r="F51" s="84" t="n"/>
      <c r="G51" s="84" t="n"/>
      <c r="H51" s="84" t="n"/>
      <c r="I51" s="84" t="n"/>
      <c r="J51" s="84" t="n"/>
      <c r="K51" s="84" t="n"/>
      <c r="L51" s="85">
        <f>IF(E51="","",IF(M51="Completed","On Track",IF(OR(J51="",K51=""),"",IF(($V$3*100+$U$3)&gt;(K51*100+J51),"Delayed","On Track"))))</f>
        <v/>
      </c>
      <c r="M51" s="84" t="n"/>
      <c r="N51" s="86" t="n"/>
      <c r="O51" s="86" t="n"/>
    </row>
    <row r="52" ht="19.5" customHeight="1" s="113">
      <c r="C52" s="174" t="n"/>
      <c r="D52" s="23" t="n">
        <v>46</v>
      </c>
      <c r="E52" s="11" t="n"/>
      <c r="F52" s="12" t="n"/>
      <c r="G52" s="12" t="n"/>
      <c r="H52" s="12" t="n"/>
      <c r="I52" s="12" t="n"/>
      <c r="J52" s="12" t="n"/>
      <c r="K52" s="12" t="n"/>
      <c r="L52" s="13">
        <f>IF(E52="","",IF(M52="Completed","On Track",IF(OR(J52="",K52=""),"",IF(($V$3*100+$U$3)&gt;(K52*100+J52),"Delayed","On Track"))))</f>
        <v/>
      </c>
      <c r="M52" s="12" t="n"/>
      <c r="N52" s="14" t="n"/>
      <c r="O52" s="14" t="n"/>
    </row>
    <row r="53" ht="19.5" customHeight="1" s="113">
      <c r="C53" s="19" t="n"/>
      <c r="D53" s="108" t="n">
        <v>47</v>
      </c>
      <c r="E53" s="83" t="n"/>
      <c r="F53" s="84" t="n"/>
      <c r="G53" s="84" t="n"/>
      <c r="H53" s="84" t="n"/>
      <c r="I53" s="84" t="n"/>
      <c r="J53" s="84" t="n"/>
      <c r="K53" s="84" t="n"/>
      <c r="L53" s="85">
        <f>IF(E53="","",IF(M53="Completed","On Track",IF(OR(J53="",K53=""),"",IF(($V$3*100+$U$3)&gt;(K53*100+J53),"Delayed","On Track"))))</f>
        <v/>
      </c>
      <c r="M53" s="84" t="n"/>
      <c r="N53" s="86" t="n"/>
      <c r="O53" s="86" t="n"/>
    </row>
    <row r="54" ht="19.5" customHeight="1" s="113">
      <c r="C54" s="33" t="n"/>
      <c r="D54" s="69" t="n">
        <v>48</v>
      </c>
      <c r="E54" s="11" t="n"/>
      <c r="F54" s="12" t="n"/>
      <c r="G54" s="12" t="n"/>
      <c r="H54" s="12" t="n"/>
      <c r="I54" s="12" t="n"/>
      <c r="J54" s="12" t="n"/>
      <c r="K54" s="12" t="n"/>
      <c r="L54" s="13">
        <f>IF(E54="","",IF(M54="Completed","On Track",IF(OR(J54="",K54=""),"",IF(($V$3*100+$U$3)&gt;(K54*100+J54),"Delayed","On Track"))))</f>
        <v/>
      </c>
      <c r="M54" s="12" t="n"/>
      <c r="N54" s="14" t="n"/>
      <c r="O54" s="14" t="n"/>
    </row>
    <row r="55" ht="19.5" customHeight="1" s="113">
      <c r="C55" s="27" t="n"/>
      <c r="D55" s="91" t="n">
        <v>49</v>
      </c>
      <c r="E55" s="83" t="n"/>
      <c r="F55" s="84" t="n"/>
      <c r="G55" s="84" t="n"/>
      <c r="H55" s="84" t="n"/>
      <c r="I55" s="84" t="n"/>
      <c r="J55" s="84" t="n"/>
      <c r="K55" s="84" t="n"/>
      <c r="L55" s="85">
        <f>IF(E55="","",IF(M55="Completed","On Track",IF(OR(J55="",K55=""),"",IF(($V$3*100+$U$3)&gt;(K55*100+J55),"Delayed","On Track"))))</f>
        <v/>
      </c>
      <c r="M55" s="84" t="n"/>
      <c r="N55" s="86" t="n"/>
      <c r="O55" s="86" t="n"/>
    </row>
    <row r="56" ht="19.5" customHeight="1" s="113">
      <c r="C56" s="8" t="n"/>
      <c r="D56" s="66" t="n">
        <v>50</v>
      </c>
      <c r="E56" s="11" t="n"/>
      <c r="F56" s="12" t="n"/>
      <c r="G56" s="12" t="n"/>
      <c r="H56" s="12" t="n"/>
      <c r="I56" s="12" t="n"/>
      <c r="J56" s="12" t="n"/>
      <c r="K56" s="12" t="n"/>
      <c r="L56" s="13">
        <f>IF(E56="","",IF(M56="Completed","On Track",IF(OR(J56="",K56=""),"",IF(($V$3*100+$U$3)&gt;(K56*100+J56),"Delayed","On Track"))))</f>
        <v/>
      </c>
      <c r="M56" s="12" t="n"/>
      <c r="N56" s="14" t="n"/>
      <c r="O56" s="14" t="n"/>
    </row>
    <row r="57" ht="19.5" customHeight="1" s="113">
      <c r="C57" s="8" t="n"/>
      <c r="D57" s="82" t="n">
        <v>51</v>
      </c>
      <c r="E57" s="83" t="n"/>
      <c r="F57" s="84" t="n"/>
      <c r="G57" s="84" t="n"/>
      <c r="H57" s="84" t="n"/>
      <c r="I57" s="84" t="n"/>
      <c r="J57" s="84" t="n"/>
      <c r="K57" s="84" t="n"/>
      <c r="L57" s="85">
        <f>IF(E57="","",IF(M57="Completed","On Track",IF(OR(J57="",K57=""),"",IF(($V$3*100+$U$3)&gt;(K57*100+J57),"Delayed","On Track"))))</f>
        <v/>
      </c>
      <c r="M57" s="84" t="n"/>
      <c r="N57" s="86" t="n"/>
      <c r="O57" s="86" t="n"/>
    </row>
    <row r="58" ht="19.5" customHeight="1" s="113">
      <c r="C58" s="9" t="n"/>
      <c r="D58" s="10" t="n">
        <v>52</v>
      </c>
      <c r="E58" s="11" t="n"/>
      <c r="F58" s="12" t="n"/>
      <c r="G58" s="12" t="n"/>
      <c r="H58" s="12" t="n"/>
      <c r="I58" s="12" t="n"/>
      <c r="J58" s="12" t="n"/>
      <c r="K58" s="12" t="n"/>
      <c r="L58" s="13">
        <f>IF(E58="","",IF(M58="Completed","On Track",IF(OR(J58="",K58=""),"",IF(($V$3*100+$U$3)&gt;(K58*100+J58),"Delayed","On Track"))))</f>
        <v/>
      </c>
      <c r="M58" s="12" t="n"/>
      <c r="N58" s="14" t="n"/>
      <c r="O58" s="14" t="n"/>
    </row>
    <row r="59" ht="19.5" customHeight="1" s="113">
      <c r="C59" s="15" t="n"/>
      <c r="D59" s="87" t="n">
        <v>53</v>
      </c>
      <c r="E59" s="83" t="n"/>
      <c r="F59" s="84" t="n"/>
      <c r="G59" s="84" t="n"/>
      <c r="H59" s="84" t="n"/>
      <c r="I59" s="84" t="n"/>
      <c r="J59" s="84" t="n"/>
      <c r="K59" s="84" t="n"/>
      <c r="L59" s="85">
        <f>IF(E59="","",IF(M59="Completed","On Track",IF(OR(J59="",K59=""),"",IF(($V$3*100+$U$3)&gt;(K59*100+J59),"Delayed","On Track"))))</f>
        <v/>
      </c>
      <c r="M59" s="84" t="n"/>
      <c r="N59" s="86" t="n"/>
      <c r="O59" s="86" t="n"/>
    </row>
    <row r="60" ht="19.5" customHeight="1" s="113">
      <c r="C60" s="16" t="n"/>
      <c r="D60" s="17" t="n">
        <v>54</v>
      </c>
      <c r="E60" s="11" t="n"/>
      <c r="F60" s="12" t="n"/>
      <c r="G60" s="12" t="n"/>
      <c r="H60" s="12" t="n"/>
      <c r="I60" s="12" t="n"/>
      <c r="J60" s="12" t="n"/>
      <c r="K60" s="12" t="n"/>
      <c r="L60" s="13">
        <f>IF(E60="","",IF(M60="Completed","On Track",IF(OR(J60="",K60=""),"",IF(($V$3*100+$U$3)&gt;(K60*100+J60),"Delayed","On Track"))))</f>
        <v/>
      </c>
      <c r="M60" s="12" t="n"/>
      <c r="N60" s="14" t="n"/>
      <c r="O60" s="14" t="n"/>
    </row>
    <row r="61" ht="19.5" customHeight="1" s="113">
      <c r="C61" s="18" t="n"/>
      <c r="D61" s="88" t="n">
        <v>55</v>
      </c>
      <c r="E61" s="83" t="n"/>
      <c r="F61" s="84" t="n"/>
      <c r="G61" s="84" t="n"/>
      <c r="H61" s="84" t="n"/>
      <c r="I61" s="84" t="n"/>
      <c r="J61" s="84" t="n"/>
      <c r="K61" s="84" t="n"/>
      <c r="L61" s="85">
        <f>IF(E61="","",IF(M61="Completed","On Track",IF(OR(J61="",K61=""),"",IF(($V$3*100+$U$3)&gt;(K61*100+J61),"Delayed","On Track"))))</f>
        <v/>
      </c>
      <c r="M61" s="84" t="n"/>
      <c r="N61" s="86" t="n"/>
      <c r="O61" s="86" t="n"/>
    </row>
    <row r="62" ht="19.5" customHeight="1" s="113">
      <c r="C62" s="19" t="n"/>
      <c r="D62" s="20" t="n">
        <v>56</v>
      </c>
      <c r="E62" s="11" t="n"/>
      <c r="F62" s="12" t="n"/>
      <c r="G62" s="12" t="n"/>
      <c r="H62" s="12" t="n"/>
      <c r="I62" s="12" t="n"/>
      <c r="J62" s="12" t="n"/>
      <c r="K62" s="12" t="n"/>
      <c r="L62" s="13">
        <f>IF(E62="","",IF(M62="Completed","On Track",IF(OR(J62="",K62=""),"",IF(($V$3*100+$U$3)&gt;(K62*100+J62),"Delayed","On Track"))))</f>
        <v/>
      </c>
      <c r="M62" s="12" t="n"/>
      <c r="N62" s="14" t="n"/>
      <c r="O62" s="14" t="n"/>
    </row>
    <row r="63" ht="19.5" customHeight="1" s="113">
      <c r="C63" s="21" t="n"/>
      <c r="D63" s="89" t="n">
        <v>57</v>
      </c>
      <c r="E63" s="83" t="n"/>
      <c r="F63" s="84" t="n"/>
      <c r="G63" s="84" t="n"/>
      <c r="H63" s="84" t="n"/>
      <c r="I63" s="84" t="n"/>
      <c r="J63" s="84" t="n"/>
      <c r="K63" s="84" t="n"/>
      <c r="L63" s="85">
        <f>IF(E63="","",IF(M63="Completed","On Track",IF(OR(J63="",K63=""),"",IF(($V$3*100+$U$3)&gt;(K63*100+J63),"Delayed","On Track"))))</f>
        <v/>
      </c>
      <c r="M63" s="84" t="n"/>
      <c r="N63" s="86" t="n"/>
      <c r="O63" s="86" t="n"/>
    </row>
    <row r="64" ht="19.5" customHeight="1" s="113">
      <c r="C64" s="174" t="n"/>
      <c r="D64" s="23" t="n">
        <v>58</v>
      </c>
      <c r="E64" s="11" t="n"/>
      <c r="F64" s="12" t="n"/>
      <c r="G64" s="12" t="n"/>
      <c r="H64" s="12" t="n"/>
      <c r="I64" s="12" t="n"/>
      <c r="J64" s="12" t="n"/>
      <c r="K64" s="12" t="n"/>
      <c r="L64" s="13">
        <f>IF(E64="","",IF(M64="Completed","On Track",IF(OR(J64="",K64=""),"",IF(($V$3*100+$U$3)&gt;(K64*100+J64),"Delayed","On Track"))))</f>
        <v/>
      </c>
      <c r="M64" s="12" t="n"/>
      <c r="N64" s="14" t="n"/>
      <c r="O64" s="14" t="n"/>
    </row>
    <row r="65" ht="19.5" customHeight="1" s="113">
      <c r="C65" s="24" t="n"/>
      <c r="D65" s="90" t="n">
        <v>59</v>
      </c>
      <c r="E65" s="83" t="n"/>
      <c r="F65" s="84" t="n"/>
      <c r="G65" s="84" t="n"/>
      <c r="H65" s="84" t="n"/>
      <c r="I65" s="84" t="n"/>
      <c r="J65" s="84" t="n"/>
      <c r="K65" s="84" t="n"/>
      <c r="L65" s="85">
        <f>IF(E65="","",IF(M65="Completed","On Track",IF(OR(J65="",K65=""),"",IF(($V$3*100+$U$3)&gt;(K65*100+J65),"Delayed","On Track"))))</f>
        <v/>
      </c>
      <c r="M65" s="84" t="n"/>
      <c r="N65" s="86" t="n"/>
      <c r="O65" s="86" t="n"/>
    </row>
    <row r="66" ht="19.5" customHeight="1" s="113">
      <c r="C66" s="25" t="n"/>
      <c r="D66" s="26" t="n">
        <v>60</v>
      </c>
      <c r="E66" s="11" t="n"/>
      <c r="F66" s="12" t="n"/>
      <c r="G66" s="12" t="n"/>
      <c r="H66" s="12" t="n"/>
      <c r="I66" s="12" t="n"/>
      <c r="J66" s="12" t="n"/>
      <c r="K66" s="12" t="n"/>
      <c r="L66" s="13">
        <f>IF(E66="","",IF(M66="Completed","On Track",IF(OR(J66="",K66=""),"",IF(($V$3*100+$U$3)&gt;(K66*100+J66),"Delayed","On Track"))))</f>
        <v/>
      </c>
      <c r="M66" s="12" t="n"/>
      <c r="N66" s="14" t="n"/>
      <c r="O66" s="14" t="n"/>
    </row>
    <row r="67" ht="19.5" customHeight="1" s="113">
      <c r="C67" s="27" t="n"/>
      <c r="D67" s="91" t="n">
        <v>61</v>
      </c>
      <c r="E67" s="83" t="n"/>
      <c r="F67" s="84" t="n"/>
      <c r="G67" s="84" t="n"/>
      <c r="H67" s="84" t="n"/>
      <c r="I67" s="84" t="n"/>
      <c r="J67" s="84" t="n"/>
      <c r="K67" s="84" t="n"/>
      <c r="L67" s="85">
        <f>IF(E67="","",IF(M67="Completed","On Track",IF(OR(J67="",K67=""),"",IF(($V$3*100+$U$3)&gt;(K67*100+J67),"Delayed","On Track"))))</f>
        <v/>
      </c>
      <c r="M67" s="84" t="n"/>
      <c r="N67" s="86" t="n"/>
      <c r="O67" s="86" t="n"/>
    </row>
    <row r="68" ht="19.5" customHeight="1" s="113">
      <c r="C68" s="28" t="n"/>
      <c r="D68" s="29" t="n">
        <v>62</v>
      </c>
      <c r="E68" s="11" t="n"/>
      <c r="F68" s="12" t="n"/>
      <c r="G68" s="12" t="n"/>
      <c r="H68" s="12" t="n"/>
      <c r="I68" s="12" t="n"/>
      <c r="J68" s="12" t="n"/>
      <c r="K68" s="12" t="n"/>
      <c r="L68" s="13">
        <f>IF(E68="","",IF(M68="Completed","On Track",IF(OR(J68="",K68=""),"",IF(($V$3*100+$U$3)&gt;(K68*100+J68),"Delayed","On Track"))))</f>
        <v/>
      </c>
      <c r="M68" s="12" t="n"/>
      <c r="N68" s="14" t="n"/>
      <c r="O68" s="14" t="n"/>
    </row>
    <row r="69" ht="19.5" customHeight="1" s="113">
      <c r="C69" s="30" t="n"/>
      <c r="D69" s="92" t="n">
        <v>63</v>
      </c>
      <c r="E69" s="83" t="n"/>
      <c r="F69" s="84" t="n"/>
      <c r="G69" s="84" t="n"/>
      <c r="H69" s="84" t="n"/>
      <c r="I69" s="84" t="n"/>
      <c r="J69" s="84" t="n"/>
      <c r="K69" s="84" t="n"/>
      <c r="L69" s="85">
        <f>IF(E69="","",IF(M69="Completed","On Track",IF(OR(J69="",K69=""),"",IF(($V$3*100+$U$3)&gt;(K69*100+J69),"Delayed","On Track"))))</f>
        <v/>
      </c>
      <c r="M69" s="84" t="n"/>
      <c r="N69" s="86" t="n"/>
      <c r="O69" s="86" t="n"/>
    </row>
    <row r="70" ht="19.5" customHeight="1" s="113">
      <c r="C70" s="31" t="n"/>
      <c r="D70" s="32" t="n">
        <v>64</v>
      </c>
      <c r="E70" s="11" t="n"/>
      <c r="F70" s="12" t="n"/>
      <c r="G70" s="12" t="n"/>
      <c r="H70" s="12" t="n"/>
      <c r="I70" s="12" t="n"/>
      <c r="J70" s="12" t="n"/>
      <c r="K70" s="12" t="n"/>
      <c r="L70" s="13">
        <f>IF(E70="","",IF(M70="Completed","On Track",IF(OR(J70="",K70=""),"",IF(($V$3*100+$U$3)&gt;(K70*100+J70),"Delayed","On Track"))))</f>
        <v/>
      </c>
      <c r="M70" s="12" t="n"/>
      <c r="N70" s="14" t="n"/>
      <c r="O70" s="14" t="n"/>
    </row>
    <row r="71" ht="19.5" customHeight="1" s="113">
      <c r="C71" s="33" t="n"/>
      <c r="D71" s="93" t="n">
        <v>65</v>
      </c>
      <c r="E71" s="83" t="n"/>
      <c r="F71" s="84" t="n"/>
      <c r="G71" s="84" t="n"/>
      <c r="H71" s="84" t="n"/>
      <c r="I71" s="84" t="n"/>
      <c r="J71" s="84" t="n"/>
      <c r="K71" s="84" t="n"/>
      <c r="L71" s="85">
        <f>IF(E71="","",IF(M71="Completed","On Track",IF(OR(J71="",K71=""),"",IF(($V$3*100+$U$3)&gt;(K71*100+J71),"Delayed","On Track"))))</f>
        <v/>
      </c>
      <c r="M71" s="84" t="n"/>
      <c r="N71" s="86" t="n"/>
      <c r="O71" s="86" t="n"/>
    </row>
    <row r="72" ht="19.5" customHeight="1" s="113">
      <c r="C72" s="34" t="n"/>
      <c r="D72" s="35" t="n">
        <v>66</v>
      </c>
      <c r="E72" s="11" t="n"/>
      <c r="F72" s="12" t="n"/>
      <c r="G72" s="12" t="n"/>
      <c r="H72" s="12" t="n"/>
      <c r="I72" s="12" t="n"/>
      <c r="J72" s="12" t="n"/>
      <c r="K72" s="12" t="n"/>
      <c r="L72" s="13">
        <f>IF(E72="","",IF(M72="Completed","On Track",IF(OR(J72="",K72=""),"",IF(($V$3*100+$U$3)&gt;(K72*100+J72),"Delayed","On Track"))))</f>
        <v/>
      </c>
      <c r="M72" s="12" t="n"/>
      <c r="N72" s="14" t="n"/>
      <c r="O72" s="14" t="n"/>
    </row>
    <row r="73" ht="19.5" customHeight="1" s="113">
      <c r="C73" s="36" t="n"/>
      <c r="D73" s="94" t="n">
        <v>67</v>
      </c>
      <c r="E73" s="83" t="n"/>
      <c r="F73" s="84" t="n"/>
      <c r="G73" s="84" t="n"/>
      <c r="H73" s="84" t="n"/>
      <c r="I73" s="84" t="n"/>
      <c r="J73" s="84" t="n"/>
      <c r="K73" s="84" t="n"/>
      <c r="L73" s="85">
        <f>IF(E73="","",IF(M73="Completed","On Track",IF(OR(J73="",K73=""),"",IF(($V$3*100+$U$3)&gt;(K73*100+J73),"Delayed","On Track"))))</f>
        <v/>
      </c>
      <c r="M73" s="84" t="n"/>
      <c r="N73" s="86" t="n"/>
      <c r="O73" s="86" t="n"/>
    </row>
    <row r="74" ht="19.5" customHeight="1" s="113">
      <c r="C74" s="37" t="n"/>
      <c r="D74" s="38" t="n">
        <v>68</v>
      </c>
      <c r="E74" s="11" t="n"/>
      <c r="F74" s="12" t="n"/>
      <c r="G74" s="12" t="n"/>
      <c r="H74" s="12" t="n"/>
      <c r="I74" s="12" t="n"/>
      <c r="J74" s="12" t="n"/>
      <c r="K74" s="12" t="n"/>
      <c r="L74" s="13">
        <f>IF(E74="","",IF(M74="Completed","On Track",IF(OR(J74="",K74=""),"",IF(($V$3*100+$U$3)&gt;(K74*100+J74),"Delayed","On Track"))))</f>
        <v/>
      </c>
      <c r="M74" s="12" t="n"/>
      <c r="N74" s="14" t="n"/>
      <c r="O74" s="14" t="n"/>
    </row>
    <row r="75" ht="19.5" customHeight="1" s="113">
      <c r="C75" s="39" t="n"/>
      <c r="D75" s="95" t="n">
        <v>69</v>
      </c>
      <c r="E75" s="83" t="n"/>
      <c r="F75" s="84" t="n"/>
      <c r="G75" s="84" t="n"/>
      <c r="H75" s="84" t="n"/>
      <c r="I75" s="84" t="n"/>
      <c r="J75" s="84" t="n"/>
      <c r="K75" s="84" t="n"/>
      <c r="L75" s="85">
        <f>IF(E75="","",IF(M75="Completed","On Track",IF(OR(J75="",K75=""),"",IF(($V$3*100+$U$3)&gt;(K75*100+J75),"Delayed","On Track"))))</f>
        <v/>
      </c>
      <c r="M75" s="84" t="n"/>
      <c r="N75" s="86" t="n"/>
      <c r="O75" s="86" t="n"/>
    </row>
    <row r="76" ht="19.5" customHeight="1" s="113">
      <c r="C76" s="40" t="n"/>
      <c r="D76" s="41" t="n">
        <v>70</v>
      </c>
      <c r="E76" s="11" t="n"/>
      <c r="F76" s="12" t="n"/>
      <c r="G76" s="12" t="n"/>
      <c r="H76" s="12" t="n"/>
      <c r="I76" s="12" t="n"/>
      <c r="J76" s="12" t="n"/>
      <c r="K76" s="12" t="n"/>
      <c r="L76" s="13">
        <f>IF(E76="","",IF(M76="Completed","On Track",IF(OR(J76="",K76=""),"",IF(($V$3*100+$U$3)&gt;(K76*100+J76),"Delayed","On Track"))))</f>
        <v/>
      </c>
      <c r="M76" s="12" t="n"/>
      <c r="N76" s="14" t="n"/>
      <c r="O76" s="14" t="n"/>
    </row>
    <row r="77" ht="19.5" customHeight="1" s="113">
      <c r="C77" s="42" t="n"/>
      <c r="D77" s="96" t="n">
        <v>71</v>
      </c>
      <c r="E77" s="83" t="n"/>
      <c r="F77" s="84" t="n"/>
      <c r="G77" s="84" t="n"/>
      <c r="H77" s="84" t="n"/>
      <c r="I77" s="84" t="n"/>
      <c r="J77" s="84" t="n"/>
      <c r="K77" s="84" t="n"/>
      <c r="L77" s="85">
        <f>IF(E77="","",IF(M77="Completed","On Track",IF(OR(J77="",K77=""),"",IF(($V$3*100+$U$3)&gt;(K77*100+J77),"Delayed","On Track"))))</f>
        <v/>
      </c>
      <c r="M77" s="84" t="n"/>
      <c r="N77" s="86" t="n"/>
      <c r="O77" s="86" t="n"/>
    </row>
    <row r="78" ht="19.5" customHeight="1" s="113">
      <c r="C78" s="175" t="n"/>
      <c r="D78" s="44" t="n">
        <v>72</v>
      </c>
      <c r="E78" s="11" t="n"/>
      <c r="F78" s="12" t="n"/>
      <c r="G78" s="12" t="n"/>
      <c r="H78" s="12" t="n"/>
      <c r="I78" s="12" t="n"/>
      <c r="J78" s="12" t="n"/>
      <c r="K78" s="12" t="n"/>
      <c r="L78" s="13">
        <f>IF(E78="","",IF(M78="Completed","On Track",IF(OR(J78="",K78=""),"",IF(($V$3*100+$U$3)&gt;(K78*100+J78),"Delayed","On Track"))))</f>
        <v/>
      </c>
      <c r="M78" s="12" t="n"/>
      <c r="N78" s="14" t="n"/>
      <c r="O78" s="14" t="n"/>
    </row>
    <row r="79" ht="19.5" customHeight="1" s="113">
      <c r="C79" s="176" t="n"/>
      <c r="D79" s="97" t="n">
        <v>73</v>
      </c>
      <c r="E79" s="83" t="n"/>
      <c r="F79" s="84" t="n"/>
      <c r="G79" s="84" t="n"/>
      <c r="H79" s="84" t="n"/>
      <c r="I79" s="84" t="n"/>
      <c r="J79" s="84" t="n"/>
      <c r="K79" s="84" t="n"/>
      <c r="L79" s="85">
        <f>IF(E79="","",IF(M79="Completed","On Track",IF(OR(J79="",K79=""),"",IF(($V$3*100+$U$3)&gt;(K79*100+J79),"Delayed","On Track"))))</f>
        <v/>
      </c>
      <c r="M79" s="84" t="n"/>
      <c r="N79" s="86" t="n"/>
      <c r="O79" s="86" t="n"/>
    </row>
    <row r="80" ht="19.5" customHeight="1" s="113">
      <c r="C80" s="46" t="n"/>
      <c r="D80" s="47" t="n">
        <v>74</v>
      </c>
      <c r="E80" s="11" t="n"/>
      <c r="F80" s="12" t="n"/>
      <c r="G80" s="12" t="n"/>
      <c r="H80" s="12" t="n"/>
      <c r="I80" s="12" t="n"/>
      <c r="J80" s="12" t="n"/>
      <c r="K80" s="12" t="n"/>
      <c r="L80" s="13">
        <f>IF(E80="","",IF(M80="Completed","On Track",IF(OR(J80="",K80=""),"",IF(($V$3*100+$U$3)&gt;(K80*100+J80),"Delayed","On Track"))))</f>
        <v/>
      </c>
      <c r="M80" s="12" t="n"/>
      <c r="N80" s="14" t="n"/>
      <c r="O80" s="14" t="n"/>
    </row>
    <row r="81" ht="19.5" customHeight="1" s="113">
      <c r="C81" s="48" t="n"/>
      <c r="D81" s="98" t="n">
        <v>75</v>
      </c>
      <c r="E81" s="83" t="n"/>
      <c r="F81" s="84" t="n"/>
      <c r="G81" s="84" t="n"/>
      <c r="H81" s="84" t="n"/>
      <c r="I81" s="84" t="n"/>
      <c r="J81" s="84" t="n"/>
      <c r="K81" s="84" t="n"/>
      <c r="L81" s="85">
        <f>IF(E81="","",IF(M81="Completed","On Track",IF(OR(J81="",K81=""),"",IF(($V$3*100+$U$3)&gt;(K81*100+J81),"Delayed","On Track"))))</f>
        <v/>
      </c>
      <c r="M81" s="84" t="n"/>
      <c r="N81" s="86" t="n"/>
      <c r="O81" s="86" t="n"/>
    </row>
    <row r="82" ht="19.5" customHeight="1" s="113">
      <c r="C82" s="177" t="n"/>
      <c r="D82" s="50" t="n">
        <v>76</v>
      </c>
      <c r="E82" s="11" t="n"/>
      <c r="F82" s="12" t="n"/>
      <c r="G82" s="12" t="n"/>
      <c r="H82" s="12" t="n"/>
      <c r="I82" s="12" t="n"/>
      <c r="J82" s="12" t="n"/>
      <c r="K82" s="12" t="n"/>
      <c r="L82" s="13">
        <f>IF(E82="","",IF(M82="Completed","On Track",IF(OR(J82="",K82=""),"",IF(($V$3*100+$U$3)&gt;(K82*100+J82),"Delayed","On Track"))))</f>
        <v/>
      </c>
      <c r="M82" s="12" t="n"/>
      <c r="N82" s="14" t="n"/>
      <c r="O82" s="14" t="n"/>
    </row>
    <row r="83" ht="19.5" customHeight="1" s="113">
      <c r="C83" s="51" t="n"/>
      <c r="D83" s="99" t="n">
        <v>77</v>
      </c>
      <c r="E83" s="83" t="n"/>
      <c r="F83" s="84" t="n"/>
      <c r="G83" s="84" t="n"/>
      <c r="H83" s="84" t="n"/>
      <c r="I83" s="84" t="n"/>
      <c r="J83" s="84" t="n"/>
      <c r="K83" s="84" t="n"/>
      <c r="L83" s="85">
        <f>IF(E83="","",IF(M83="Completed","On Track",IF(OR(J83="",K83=""),"",IF(($V$3*100+$U$3)&gt;(K83*100+J83),"Delayed","On Track"))))</f>
        <v/>
      </c>
      <c r="M83" s="84" t="n"/>
      <c r="N83" s="86" t="n"/>
      <c r="O83" s="86" t="n"/>
    </row>
    <row r="84" ht="19.5" customHeight="1" s="113">
      <c r="C84" s="52" t="n"/>
      <c r="D84" s="53" t="n">
        <v>78</v>
      </c>
      <c r="E84" s="11" t="n"/>
      <c r="F84" s="12" t="n"/>
      <c r="G84" s="12" t="n"/>
      <c r="H84" s="12" t="n"/>
      <c r="I84" s="12" t="n"/>
      <c r="J84" s="12" t="n"/>
      <c r="K84" s="12" t="n"/>
      <c r="L84" s="13">
        <f>IF(E84="","",IF(M84="Completed","On Track",IF(OR(J84="",K84=""),"",IF(($V$3*100+$U$3)&gt;(K84*100+J84),"Delayed","On Track"))))</f>
        <v/>
      </c>
      <c r="M84" s="12" t="n"/>
      <c r="N84" s="14" t="n"/>
      <c r="O84" s="14" t="n"/>
    </row>
    <row r="85" ht="19.5" customHeight="1" s="113">
      <c r="C85" s="54" t="n"/>
      <c r="D85" s="100" t="n">
        <v>79</v>
      </c>
      <c r="E85" s="83" t="n"/>
      <c r="F85" s="84" t="n"/>
      <c r="G85" s="84" t="n"/>
      <c r="H85" s="84" t="n"/>
      <c r="I85" s="84" t="n"/>
      <c r="J85" s="84" t="n"/>
      <c r="K85" s="84" t="n"/>
      <c r="L85" s="85">
        <f>IF(E85="","",IF(M85="Completed","On Track",IF(OR(J85="",K85=""),"",IF(($V$3*100+$U$3)&gt;(K85*100+J85),"Delayed","On Track"))))</f>
        <v/>
      </c>
      <c r="M85" s="84" t="n"/>
      <c r="N85" s="86" t="n"/>
      <c r="O85" s="86" t="n"/>
    </row>
    <row r="86" ht="19.5" customHeight="1" s="113">
      <c r="C86" s="178" t="n"/>
      <c r="D86" s="56" t="n">
        <v>80</v>
      </c>
      <c r="E86" s="11" t="n"/>
      <c r="F86" s="12" t="n"/>
      <c r="G86" s="12" t="n"/>
      <c r="H86" s="12" t="n"/>
      <c r="I86" s="12" t="n"/>
      <c r="J86" s="12" t="n"/>
      <c r="K86" s="12" t="n"/>
      <c r="L86" s="13">
        <f>IF(E86="","",IF(M86="Completed","On Track",IF(OR(J86="",K86=""),"",IF(($V$3*100+$U$3)&gt;(K86*100+J86),"Delayed","On Track"))))</f>
        <v/>
      </c>
      <c r="M86" s="12" t="n"/>
      <c r="N86" s="14" t="n"/>
      <c r="O86" s="14" t="n"/>
    </row>
    <row r="87" ht="19.5" customHeight="1" s="113">
      <c r="C87" s="179" t="n"/>
      <c r="D87" s="101" t="n">
        <v>81</v>
      </c>
      <c r="E87" s="83" t="n"/>
      <c r="F87" s="84" t="n"/>
      <c r="G87" s="84" t="n"/>
      <c r="H87" s="84" t="n"/>
      <c r="I87" s="84" t="n"/>
      <c r="J87" s="84" t="n"/>
      <c r="K87" s="84" t="n"/>
      <c r="L87" s="85">
        <f>IF(E87="","",IF(M87="Completed","On Track",IF(OR(J87="",K87=""),"",IF(($V$3*100+$U$3)&gt;(K87*100+J87),"Delayed","On Track"))))</f>
        <v/>
      </c>
      <c r="M87" s="84" t="n"/>
      <c r="N87" s="86" t="n"/>
      <c r="O87" s="86" t="n"/>
    </row>
    <row r="88" ht="19.5" customHeight="1" s="113">
      <c r="C88" s="28" t="n"/>
      <c r="D88" s="29" t="n">
        <v>82</v>
      </c>
      <c r="E88" s="11" t="n"/>
      <c r="F88" s="12" t="n"/>
      <c r="G88" s="12" t="n"/>
      <c r="H88" s="12" t="n"/>
      <c r="I88" s="12" t="n"/>
      <c r="J88" s="12" t="n"/>
      <c r="K88" s="12" t="n"/>
      <c r="L88" s="13">
        <f>IF(E88="","",IF(M88="Completed","On Track",IF(OR(J88="",K88=""),"",IF(($V$3*100+$U$3)&gt;(K88*100+J88),"Delayed","On Track"))))</f>
        <v/>
      </c>
      <c r="M88" s="12" t="n"/>
      <c r="N88" s="14" t="n"/>
      <c r="O88" s="14" t="n"/>
    </row>
    <row r="89" ht="19.5" customHeight="1" s="113">
      <c r="C89" s="58" t="n"/>
      <c r="D89" s="102" t="n">
        <v>83</v>
      </c>
      <c r="E89" s="83" t="n"/>
      <c r="F89" s="84" t="n"/>
      <c r="G89" s="84" t="n"/>
      <c r="H89" s="84" t="n"/>
      <c r="I89" s="84" t="n"/>
      <c r="J89" s="84" t="n"/>
      <c r="K89" s="84" t="n"/>
      <c r="L89" s="85">
        <f>IF(E89="","",IF(M89="Completed","On Track",IF(OR(J89="",K89=""),"",IF(($V$3*100+$U$3)&gt;(K89*100+J89),"Delayed","On Track"))))</f>
        <v/>
      </c>
      <c r="M89" s="84" t="n"/>
      <c r="N89" s="86" t="n"/>
      <c r="O89" s="86" t="n"/>
    </row>
    <row r="90" ht="19.5" customHeight="1" s="113">
      <c r="C90" s="180" t="n"/>
      <c r="D90" s="60" t="n">
        <v>84</v>
      </c>
      <c r="E90" s="11" t="n"/>
      <c r="F90" s="12" t="n"/>
      <c r="G90" s="12" t="n"/>
      <c r="H90" s="12" t="n"/>
      <c r="I90" s="12" t="n"/>
      <c r="J90" s="12" t="n"/>
      <c r="K90" s="12" t="n"/>
      <c r="L90" s="13">
        <f>IF(E90="","",IF(M90="Completed","On Track",IF(OR(J90="",K90=""),"",IF(($V$3*100+$U$3)&gt;(K90*100+J90),"Delayed","On Track"))))</f>
        <v/>
      </c>
      <c r="M90" s="12" t="n"/>
      <c r="N90" s="14" t="n"/>
      <c r="O90" s="14" t="n"/>
    </row>
    <row r="91" ht="19.5" customHeight="1" s="113">
      <c r="C91" s="61" t="n"/>
      <c r="D91" s="103" t="n">
        <v>85</v>
      </c>
      <c r="E91" s="83" t="n"/>
      <c r="F91" s="84" t="n"/>
      <c r="G91" s="84" t="n"/>
      <c r="H91" s="84" t="n"/>
      <c r="I91" s="84" t="n"/>
      <c r="J91" s="84" t="n"/>
      <c r="K91" s="84" t="n"/>
      <c r="L91" s="85">
        <f>IF(E91="","",IF(M91="Completed","On Track",IF(OR(J91="",K91=""),"",IF(($V$3*100+$U$3)&gt;(K91*100+J91),"Delayed","On Track"))))</f>
        <v/>
      </c>
      <c r="M91" s="84" t="n"/>
      <c r="N91" s="86" t="n"/>
      <c r="O91" s="86" t="n"/>
    </row>
    <row r="92" ht="19.5" customHeight="1" s="113">
      <c r="C92" s="62" t="n"/>
      <c r="D92" s="63" t="n">
        <v>86</v>
      </c>
      <c r="E92" s="11" t="n"/>
      <c r="F92" s="12" t="n"/>
      <c r="G92" s="12" t="n"/>
      <c r="H92" s="12" t="n"/>
      <c r="I92" s="12" t="n"/>
      <c r="J92" s="12" t="n"/>
      <c r="K92" s="12" t="n"/>
      <c r="L92" s="13">
        <f>IF(E92="","",IF(M92="Completed","On Track",IF(OR(J92="",K92=""),"",IF(($V$3*100+$U$3)&gt;(K92*100+J92),"Delayed","On Track"))))</f>
        <v/>
      </c>
      <c r="M92" s="12" t="n"/>
      <c r="N92" s="14" t="n"/>
      <c r="O92" s="14" t="n"/>
    </row>
    <row r="93" ht="19.5" customHeight="1" s="113">
      <c r="C93" s="181" t="n"/>
      <c r="D93" s="104" t="n">
        <v>87</v>
      </c>
      <c r="E93" s="83" t="n"/>
      <c r="F93" s="84" t="n"/>
      <c r="G93" s="84" t="n"/>
      <c r="H93" s="84" t="n"/>
      <c r="I93" s="84" t="n"/>
      <c r="J93" s="84" t="n"/>
      <c r="K93" s="84" t="n"/>
      <c r="L93" s="85">
        <f>IF(E93="","",IF(M93="Completed","On Track",IF(OR(J93="",K93=""),"",IF(($V$3*100+$U$3)&gt;(K93*100+J93),"Delayed","On Track"))))</f>
        <v/>
      </c>
      <c r="M93" s="84" t="n"/>
      <c r="N93" s="86" t="n"/>
      <c r="O93" s="86" t="n"/>
    </row>
    <row r="94" ht="19.5" customHeight="1" s="113">
      <c r="C94" s="15" t="n"/>
      <c r="D94" s="65" t="n">
        <v>88</v>
      </c>
      <c r="E94" s="11" t="n"/>
      <c r="F94" s="12" t="n"/>
      <c r="G94" s="12" t="n"/>
      <c r="H94" s="12" t="n"/>
      <c r="I94" s="12" t="n"/>
      <c r="J94" s="12" t="n"/>
      <c r="K94" s="12" t="n"/>
      <c r="L94" s="13">
        <f>IF(E94="","",IF(M94="Completed","On Track",IF(OR(J94="",K94=""),"",IF(($V$3*100+$U$3)&gt;(K94*100+J94),"Delayed","On Track"))))</f>
        <v/>
      </c>
      <c r="M94" s="12" t="n"/>
      <c r="N94" s="14" t="n"/>
      <c r="O94" s="14" t="n"/>
    </row>
    <row r="95" ht="19.5" customHeight="1" s="113">
      <c r="C95" s="9" t="n"/>
      <c r="D95" s="105" t="n">
        <v>89</v>
      </c>
      <c r="E95" s="83" t="n"/>
      <c r="F95" s="84" t="n"/>
      <c r="G95" s="84" t="n"/>
      <c r="H95" s="84" t="n"/>
      <c r="I95" s="84" t="n"/>
      <c r="J95" s="84" t="n"/>
      <c r="K95" s="84" t="n"/>
      <c r="L95" s="85">
        <f>IF(E95="","",IF(M95="Completed","On Track",IF(OR(J95="",K95=""),"",IF(($V$3*100+$U$3)&gt;(K95*100+J95),"Delayed","On Track"))))</f>
        <v/>
      </c>
      <c r="M95" s="84" t="n"/>
      <c r="N95" s="86" t="n"/>
      <c r="O95" s="86" t="n"/>
    </row>
    <row r="96" ht="19.5" customHeight="1" s="113">
      <c r="C96" s="8" t="n"/>
      <c r="D96" s="66" t="n">
        <v>90</v>
      </c>
      <c r="E96" s="11" t="n"/>
      <c r="F96" s="12" t="n"/>
      <c r="G96" s="12" t="n"/>
      <c r="H96" s="12" t="n"/>
      <c r="I96" s="12" t="n"/>
      <c r="J96" s="12" t="n"/>
      <c r="K96" s="12" t="n"/>
      <c r="L96" s="13">
        <f>IF(E96="","",IF(M96="Completed","On Track",IF(OR(J96="",K96=""),"",IF(($V$3*100+$U$3)&gt;(K96*100+J96),"Delayed","On Track"))))</f>
        <v/>
      </c>
      <c r="M96" s="12" t="n"/>
      <c r="N96" s="14" t="n"/>
      <c r="O96" s="14" t="n"/>
    </row>
    <row r="97" ht="19.5" customHeight="1" s="113">
      <c r="C97" s="34" t="n"/>
      <c r="D97" s="106" t="n">
        <v>91</v>
      </c>
      <c r="E97" s="83" t="n"/>
      <c r="F97" s="84" t="n"/>
      <c r="G97" s="84" t="n"/>
      <c r="H97" s="84" t="n"/>
      <c r="I97" s="84" t="n"/>
      <c r="J97" s="84" t="n"/>
      <c r="K97" s="84" t="n"/>
      <c r="L97" s="85">
        <f>IF(E97="","",IF(M97="Completed","On Track",IF(OR(J97="",K97=""),"",IF(($V$3*100+$U$3)&gt;(K97*100+J97),"Delayed","On Track"))))</f>
        <v/>
      </c>
      <c r="M97" s="84" t="n"/>
      <c r="N97" s="86" t="n"/>
      <c r="O97" s="86" t="n"/>
    </row>
    <row r="98" ht="19.5" customHeight="1" s="113">
      <c r="C98" s="18" t="n"/>
      <c r="D98" s="67" t="n">
        <v>92</v>
      </c>
      <c r="E98" s="11" t="n"/>
      <c r="F98" s="12" t="n"/>
      <c r="G98" s="12" t="n"/>
      <c r="H98" s="12" t="n"/>
      <c r="I98" s="12" t="n"/>
      <c r="J98" s="12" t="n"/>
      <c r="K98" s="12" t="n"/>
      <c r="L98" s="13">
        <f>IF(E98="","",IF(M98="Completed","On Track",IF(OR(J98="",K98=""),"",IF(($V$3*100+$U$3)&gt;(K98*100+J98),"Delayed","On Track"))))</f>
        <v/>
      </c>
      <c r="M98" s="12" t="n"/>
      <c r="N98" s="14" t="n"/>
      <c r="O98" s="14" t="n"/>
    </row>
    <row r="99" ht="19.5" customHeight="1" s="113">
      <c r="C99" s="21" t="n"/>
      <c r="D99" s="89" t="n">
        <v>93</v>
      </c>
      <c r="E99" s="83" t="n"/>
      <c r="F99" s="84" t="n"/>
      <c r="G99" s="84" t="n"/>
      <c r="H99" s="84" t="n"/>
      <c r="I99" s="84" t="n"/>
      <c r="J99" s="84" t="n"/>
      <c r="K99" s="84" t="n"/>
      <c r="L99" s="85">
        <f>IF(E99="","",IF(M99="Completed","On Track",IF(OR(J99="",K99=""),"",IF(($V$3*100+$U$3)&gt;(K99*100+J99),"Delayed","On Track"))))</f>
        <v/>
      </c>
      <c r="M99" s="84" t="n"/>
      <c r="N99" s="86" t="n"/>
      <c r="O99" s="86" t="n"/>
    </row>
    <row r="100" ht="19.5" customHeight="1" s="113">
      <c r="C100" s="24" t="n"/>
      <c r="D100" s="68" t="n">
        <v>94</v>
      </c>
      <c r="E100" s="11" t="n"/>
      <c r="F100" s="12" t="n"/>
      <c r="G100" s="12" t="n"/>
      <c r="H100" s="12" t="n"/>
      <c r="I100" s="12" t="n"/>
      <c r="J100" s="12" t="n"/>
      <c r="K100" s="12" t="n"/>
      <c r="L100" s="13">
        <f>IF(E100="","",IF(M100="Completed","On Track",IF(OR(J100="",K100=""),"",IF(($V$3*100+$U$3)&gt;(K100*100+J100),"Delayed","On Track"))))</f>
        <v/>
      </c>
      <c r="M100" s="12" t="n"/>
      <c r="N100" s="14" t="n"/>
      <c r="O100" s="14" t="n"/>
    </row>
    <row r="101" ht="19.5" customHeight="1" s="113">
      <c r="C101" s="25" t="n"/>
      <c r="D101" s="107" t="n">
        <v>95</v>
      </c>
      <c r="E101" s="83" t="n"/>
      <c r="F101" s="84" t="n"/>
      <c r="G101" s="84" t="n"/>
      <c r="H101" s="84" t="n"/>
      <c r="I101" s="84" t="n"/>
      <c r="J101" s="84" t="n"/>
      <c r="K101" s="84" t="n"/>
      <c r="L101" s="85">
        <f>IF(E101="","",IF(M101="Completed","On Track",IF(OR(J101="",K101=""),"",IF(($V$3*100+$U$3)&gt;(K101*100+J101),"Delayed","On Track"))))</f>
        <v/>
      </c>
      <c r="M101" s="84" t="n"/>
      <c r="N101" s="86" t="n"/>
      <c r="O101" s="86" t="n"/>
    </row>
    <row r="102" ht="19.5" customHeight="1" s="113">
      <c r="C102" s="174" t="n"/>
      <c r="D102" s="23" t="n">
        <v>96</v>
      </c>
      <c r="E102" s="11" t="n"/>
      <c r="F102" s="12" t="n"/>
      <c r="G102" s="12" t="n"/>
      <c r="H102" s="12" t="n"/>
      <c r="I102" s="12" t="n"/>
      <c r="J102" s="12" t="n"/>
      <c r="K102" s="12" t="n"/>
      <c r="L102" s="13">
        <f>IF(E102="","",IF(M102="Completed","On Track",IF(OR(J102="",K102=""),"",IF(($V$3*100+$U$3)&gt;(K102*100+J102),"Delayed","On Track"))))</f>
        <v/>
      </c>
      <c r="M102" s="12" t="n"/>
      <c r="N102" s="14" t="n"/>
      <c r="O102" s="14" t="n"/>
    </row>
    <row r="103" ht="19.5" customHeight="1" s="113">
      <c r="C103" s="19" t="n"/>
      <c r="D103" s="108" t="n">
        <v>97</v>
      </c>
      <c r="E103" s="83" t="n"/>
      <c r="F103" s="84" t="n"/>
      <c r="G103" s="84" t="n"/>
      <c r="H103" s="84" t="n"/>
      <c r="I103" s="84" t="n"/>
      <c r="J103" s="84" t="n"/>
      <c r="K103" s="84" t="n"/>
      <c r="L103" s="85">
        <f>IF(E103="","",IF(M103="Completed","On Track",IF(OR(J103="",K103=""),"",IF(($V$3*100+$U$3)&gt;(K103*100+J103),"Delayed","On Track"))))</f>
        <v/>
      </c>
      <c r="M103" s="84" t="n"/>
      <c r="N103" s="86" t="n"/>
      <c r="O103" s="86" t="n"/>
    </row>
    <row r="104" ht="19.5" customHeight="1" s="113">
      <c r="C104" s="33" t="n"/>
      <c r="D104" s="69" t="n">
        <v>98</v>
      </c>
      <c r="E104" s="11" t="n"/>
      <c r="F104" s="12" t="n"/>
      <c r="G104" s="12" t="n"/>
      <c r="H104" s="12" t="n"/>
      <c r="I104" s="12" t="n"/>
      <c r="J104" s="12" t="n"/>
      <c r="K104" s="12" t="n"/>
      <c r="L104" s="13">
        <f>IF(E104="","",IF(M104="Completed","On Track",IF(OR(J104="",K104=""),"",IF(($V$3*100+$U$3)&gt;(K104*100+J104),"Delayed","On Track"))))</f>
        <v/>
      </c>
      <c r="M104" s="12" t="n"/>
      <c r="N104" s="14" t="n"/>
      <c r="O104" s="14" t="n"/>
    </row>
    <row r="105" ht="19.5" customHeight="1" s="113">
      <c r="C105" s="27" t="n"/>
      <c r="D105" s="91" t="n">
        <v>99</v>
      </c>
      <c r="E105" s="83" t="n"/>
      <c r="F105" s="84" t="n"/>
      <c r="G105" s="84" t="n"/>
      <c r="H105" s="84" t="n"/>
      <c r="I105" s="84" t="n"/>
      <c r="J105" s="84" t="n"/>
      <c r="K105" s="84" t="n"/>
      <c r="L105" s="85">
        <f>IF(E105="","",IF(M105="Completed","On Track",IF(OR(J105="",K105=""),"",IF(($V$3*100+$U$3)&gt;(K105*100+J105),"Delayed","On Track"))))</f>
        <v/>
      </c>
      <c r="M105" s="84" t="n"/>
      <c r="N105" s="86" t="n"/>
      <c r="O105" s="86" t="n"/>
    </row>
    <row r="106" ht="19.5" customHeight="1" s="113">
      <c r="C106" s="8" t="n"/>
      <c r="D106" s="66" t="n">
        <v>100</v>
      </c>
      <c r="E106" s="11" t="n"/>
      <c r="F106" s="12" t="n"/>
      <c r="G106" s="12" t="n"/>
      <c r="H106" s="12" t="n"/>
      <c r="I106" s="12" t="n"/>
      <c r="J106" s="12" t="n"/>
      <c r="K106" s="12" t="n"/>
      <c r="L106" s="13">
        <f>IF(E106="","",IF(M106="Completed","On Track",IF(OR(J106="",K106=""),"",IF(($V$3*100+$U$3)&gt;(K106*100+J106),"Delayed","On Track"))))</f>
        <v/>
      </c>
      <c r="M106" s="12" t="n"/>
      <c r="N106" s="14" t="n"/>
      <c r="O106" s="14" t="n"/>
    </row>
    <row r="107" ht="19.5" customHeight="1" s="113"/>
    <row r="108" ht="19.5" customHeight="1" s="113"/>
    <row r="109" ht="19.5" customHeight="1" s="113"/>
    <row r="110" ht="19.5" customHeight="1" s="113"/>
    <row r="111" ht="19.5" customHeight="1" s="113"/>
    <row r="112" ht="19.5" customHeight="1" s="113"/>
    <row r="113" ht="19.5" customHeight="1" s="113"/>
    <row r="114" ht="19.5" customHeight="1" s="113"/>
    <row r="115" ht="19.5" customHeight="1" s="113"/>
    <row r="116" ht="19.5" customHeight="1" s="113"/>
    <row r="117" ht="19.5" customHeight="1" s="113"/>
    <row r="118" ht="19.5" customHeight="1" s="113"/>
    <row r="119" ht="19.5" customHeight="1" s="113"/>
    <row r="120" ht="19.5" customHeight="1" s="113"/>
    <row r="121" ht="19.5" customHeight="1" s="113"/>
    <row r="122" ht="19.5" customHeight="1" s="113"/>
    <row r="123" ht="19.5" customHeight="1" s="113"/>
    <row r="124" ht="19.5" customHeight="1" s="113"/>
    <row r="125" ht="19.5" customHeight="1" s="113"/>
    <row r="126" ht="19.5" customHeight="1" s="113"/>
    <row r="127" ht="19.5" customHeight="1" s="113"/>
    <row r="128" ht="19.5" customHeight="1" s="113"/>
    <row r="129" ht="19.5" customHeight="1" s="113"/>
    <row r="130" ht="19.5" customHeight="1" s="113"/>
    <row r="131" ht="19.5" customHeight="1" s="113"/>
    <row r="132" ht="19.5" customHeight="1" s="113"/>
    <row r="133" ht="19.5" customHeight="1" s="113"/>
    <row r="134" ht="19.5" customHeight="1" s="113"/>
    <row r="135" ht="19.5" customHeight="1" s="113"/>
    <row r="136" ht="19.5" customHeight="1" s="113"/>
    <row r="137" ht="19.5" customHeight="1" s="113"/>
    <row r="138" ht="19.5" customHeight="1" s="113"/>
    <row r="139" ht="19.5" customHeight="1" s="113"/>
    <row r="140" ht="19.5" customHeight="1" s="113"/>
    <row r="141" ht="19.5" customHeight="1" s="113"/>
    <row r="142" ht="19.5" customHeight="1" s="113"/>
    <row r="143" ht="19.5" customHeight="1" s="113"/>
    <row r="144" ht="19.5" customHeight="1" s="113"/>
    <row r="145" ht="19.5" customHeight="1" s="113"/>
    <row r="146" ht="19.5" customHeight="1" s="113"/>
    <row r="147" ht="19.5" customHeight="1" s="113"/>
    <row r="148" ht="19.5" customHeight="1" s="113"/>
    <row r="149" ht="19.5" customHeight="1" s="113"/>
    <row r="150" ht="19.5" customHeight="1" s="113"/>
    <row r="151" ht="19.5" customHeight="1" s="113"/>
    <row r="152" ht="19.5" customHeight="1" s="113"/>
    <row r="153" ht="19.5" customHeight="1" s="113"/>
    <row r="154" ht="19.5" customHeight="1" s="113"/>
    <row r="155" ht="19.5" customHeight="1" s="113"/>
    <row r="156" ht="19.5" customHeight="1" s="113"/>
    <row r="157" ht="19.5" customHeight="1" s="113"/>
    <row r="158" ht="19.5" customHeight="1" s="113"/>
    <row r="159" ht="19.5" customHeight="1" s="113"/>
    <row r="160" ht="19.5" customHeight="1" s="113"/>
    <row r="161" ht="19.5" customHeight="1" s="113"/>
    <row r="162" ht="19.5" customHeight="1" s="113"/>
    <row r="163" ht="19.5" customHeight="1" s="113"/>
    <row r="164" ht="19.5" customHeight="1" s="113"/>
    <row r="165" ht="19.5" customHeight="1" s="113"/>
    <row r="166" ht="19.5" customHeight="1" s="113"/>
    <row r="167" ht="19.5" customHeight="1" s="113"/>
    <row r="168" ht="19.5" customHeight="1" s="113"/>
    <row r="169" ht="19.5" customHeight="1" s="113"/>
    <row r="170" ht="19.5" customHeight="1" s="113"/>
    <row r="171" ht="19.5" customHeight="1" s="113"/>
    <row r="172" ht="19.5" customHeight="1" s="113"/>
    <row r="173" ht="19.5" customHeight="1" s="113"/>
    <row r="174" ht="19.5" customHeight="1" s="113"/>
    <row r="175" ht="19.5" customHeight="1" s="113"/>
    <row r="176" ht="19.5" customHeight="1" s="113"/>
    <row r="177" ht="19.5" customHeight="1" s="113"/>
    <row r="178" ht="19.5" customHeight="1" s="113"/>
    <row r="179" ht="19.5" customHeight="1" s="113"/>
    <row r="180" ht="19.5" customHeight="1" s="113"/>
    <row r="181" ht="19.5" customHeight="1" s="113"/>
    <row r="182" ht="19.5" customHeight="1" s="113"/>
    <row r="183" ht="19.5" customHeight="1" s="113"/>
    <row r="184" ht="19.5" customHeight="1" s="113"/>
    <row r="185" ht="19.5" customHeight="1" s="113"/>
    <row r="186" ht="19.5" customHeight="1" s="113"/>
    <row r="187" ht="19.5" customHeight="1" s="113"/>
    <row r="188" ht="19.5" customHeight="1" s="113"/>
    <row r="189" ht="19.5" customHeight="1" s="113"/>
    <row r="190" ht="19.5" customHeight="1" s="113"/>
    <row r="191" ht="19.5" customHeight="1" s="113"/>
    <row r="192" ht="19.5" customHeight="1" s="113"/>
    <row r="193" ht="19.5" customHeight="1" s="113"/>
    <row r="194" ht="19.5" customHeight="1" s="113"/>
    <row r="195" ht="19.5" customHeight="1" s="113"/>
    <row r="196" ht="19.5" customHeight="1" s="113"/>
    <row r="197" ht="19.5" customHeight="1" s="113"/>
    <row r="198" ht="19.5" customHeight="1" s="113"/>
    <row r="199" ht="19.5" customHeight="1" s="113"/>
    <row r="200" ht="19.5" customHeight="1" s="113"/>
    <row r="201" ht="19.5" customHeight="1" s="113"/>
    <row r="202" ht="19.5" customHeight="1" s="113"/>
    <row r="203" ht="19.5" customHeight="1" s="113"/>
    <row r="204" ht="19.5" customHeight="1" s="113"/>
    <row r="205" ht="19.5" customHeight="1" s="113"/>
    <row r="206" ht="19.5" customHeight="1" s="113"/>
    <row r="207" ht="15" customHeight="1" s="113"/>
    <row r="208" ht="15" customHeight="1" s="113"/>
    <row r="209" ht="15" customHeight="1" s="113"/>
    <row r="210" ht="15" customHeight="1" s="113"/>
    <row r="211" ht="15" customHeight="1" s="113"/>
    <row r="212" ht="15" customHeight="1" s="113"/>
    <row r="213" ht="15" customHeight="1" s="113"/>
    <row r="214" ht="15" customHeight="1" s="113"/>
    <row r="216" ht="15.75" customHeight="1" s="113"/>
  </sheetData>
  <mergeCells count="9">
    <mergeCell ref="B3:D3"/>
    <mergeCell ref="E2:N2"/>
    <mergeCell ref="B4:D4"/>
    <mergeCell ref="E4:N4"/>
    <mergeCell ref="P4:S4"/>
    <mergeCell ref="B2:D2"/>
    <mergeCell ref="U4:V4"/>
    <mergeCell ref="B5:D5"/>
    <mergeCell ref="E5:N5"/>
  </mergeCells>
  <conditionalFormatting sqref="L7:L106">
    <cfRule type="containsText" priority="9" operator="containsText" dxfId="64" text="On Track">
      <formula>NOT(ISERROR(SEARCH("On Track",L7)))</formula>
    </cfRule>
    <cfRule type="containsText" priority="10" operator="containsText" dxfId="72" text="Delayed">
      <formula>NOT(ISERROR(SEARCH("Delayed",L7)))</formula>
    </cfRule>
  </conditionalFormatting>
  <conditionalFormatting sqref="M7:M106">
    <cfRule type="containsText" priority="1" operator="containsText" dxfId="63" text="TBD">
      <formula>NOT(ISERROR(SEARCH("TBD",M7)))</formula>
    </cfRule>
    <cfRule type="containsText" priority="2" operator="containsText" dxfId="62" text="Planned">
      <formula>NOT(ISERROR(SEARCH("Planned",M7)))</formula>
    </cfRule>
    <cfRule type="containsText" priority="3" operator="containsText" dxfId="61" text="Aligned">
      <formula>NOT(ISERROR(SEARCH("Aligned",M7)))</formula>
    </cfRule>
    <cfRule type="containsText" priority="4" operator="containsText" dxfId="60" text="Dependency">
      <formula>NOT(ISERROR(SEARCH("Dependency",M7)))</formula>
    </cfRule>
    <cfRule type="containsText" priority="5" operator="containsText" dxfId="59" text="Risk">
      <formula>NOT(ISERROR(SEARCH("Risk",M7)))</formula>
    </cfRule>
    <cfRule type="containsText" priority="6" operator="containsText" dxfId="58" text="Blocker">
      <formula>NOT(ISERROR(SEARCH("Blocker",M7)))</formula>
    </cfRule>
    <cfRule type="containsText" priority="7" operator="containsText" dxfId="64" text="Completed">
      <formula>NOT(ISERROR(SEARCH("Completed",M7)))</formula>
    </cfRule>
  </conditionalFormatting>
  <dataValidations count="3">
    <dataValidation sqref="M7:M106" showDropDown="0" showInputMessage="0" showErrorMessage="0" allowBlank="1" type="list">
      <formula1>"TBD,Planned,Aligned,Dependency,Risk,Blocker,Completed"</formula1>
    </dataValidation>
    <dataValidation sqref="H7:H106 J7:J106" showDropDown="0" showInputMessage="0" showErrorMessage="1" allowBlank="1" type="whole">
      <formula1>1</formula1>
      <formula2>53</formula2>
    </dataValidation>
    <dataValidation sqref="I7:I106 K7:K106" showDropDown="0" showInputMessage="0" showErrorMessage="1" allowBlank="1" type="whole">
      <formula1>1000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106"/>
  <sheetViews>
    <sheetView showGridLines="0" tabSelected="0" zoomScaleNormal="100" workbookViewId="0">
      <pane xSplit="5" ySplit="6" topLeftCell="F7" activePane="bottomRight" state="frozen"/>
      <selection pane="topRight" activeCell="A1" sqref="A1"/>
      <selection pane="bottomLeft" activeCell="A7" sqref="A7"/>
      <selection pane="bottomRight" activeCell="Q15" sqref="Q15"/>
    </sheetView>
  </sheetViews>
  <sheetFormatPr baseColWidth="8" defaultColWidth="8.7109375" defaultRowHeight="15"/>
  <cols>
    <col width="3.7109375" customWidth="1" style="113" min="1" max="1"/>
    <col width="51.140625" bestFit="1" customWidth="1" style="113" min="2" max="2"/>
    <col width="10.28515625" customWidth="1" style="113" min="3" max="3"/>
    <col width="16" customWidth="1" style="113" min="4" max="4"/>
    <col width="14" customWidth="1" style="113" min="5" max="5"/>
    <col width="4.42578125" customWidth="1" style="113" min="6" max="6"/>
    <col width="4.42578125" bestFit="1" customWidth="1" style="113" min="7" max="330"/>
  </cols>
  <sheetData>
    <row r="1" ht="25.5" customHeight="1" s="113">
      <c r="A1" s="150">
        <f>IF('L4 input'!E2&lt;&gt;"",'L4 input'!E2,"")</f>
        <v/>
      </c>
    </row>
    <row r="2" ht="18" customHeight="1" s="113">
      <c r="A2" s="129">
        <f>"Project Code: "&amp;'L4 input'!E3&amp;"      |      SoP Date: "&amp;IF('L4 input'!G3&lt;&gt;"",'L4 input'!G3,"—")</f>
        <v/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IF('L4 input'!E4&lt;&gt;"",'L4 input'!E4,"")</f>
        <v/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>No.</t>
        </is>
      </c>
      <c r="B4" s="132" t="inlineStr">
        <is>
          <t>Activity / Event</t>
        </is>
      </c>
      <c r="C4" s="124" t="inlineStr">
        <is>
          <t>Responsible</t>
        </is>
      </c>
      <c r="D4" s="124" t="inlineStr">
        <is>
          <t>Location</t>
        </is>
      </c>
      <c r="E4" s="124" t="inlineStr">
        <is>
          <t>Status</t>
        </is>
      </c>
      <c r="F4" s="71">
        <f>'L4 input'!$Q$3</f>
        <v/>
      </c>
      <c r="G4" s="71">
        <f>IF(F6=IF(WEEKNUM(DATE(F4,12,28),21)=53,53,52),F4+1,F4)</f>
        <v/>
      </c>
      <c r="H4" s="71">
        <f>IF(G6=IF(WEEKNUM(DATE(G4,12,28),21)=53,53,52),G4+1,G4)</f>
        <v/>
      </c>
      <c r="I4" s="71">
        <f>IF(H6=IF(WEEKNUM(DATE(H4,12,28),21)=53,53,52),H4+1,H4)</f>
        <v/>
      </c>
      <c r="J4" s="71">
        <f>IF(I6=IF(WEEKNUM(DATE(I4,12,28),21)=53,53,52),I4+1,I4)</f>
        <v/>
      </c>
      <c r="K4" s="71">
        <f>IF(J6=IF(WEEKNUM(DATE(J4,12,28),21)=53,53,52),J4+1,J4)</f>
        <v/>
      </c>
      <c r="L4" s="71">
        <f>IF(K6=IF(WEEKNUM(DATE(K4,12,28),21)=53,53,52),K4+1,K4)</f>
        <v/>
      </c>
      <c r="M4" s="71">
        <f>IF(L6=IF(WEEKNUM(DATE(L4,12,28),21)=53,53,52),L4+1,L4)</f>
        <v/>
      </c>
      <c r="N4" s="71">
        <f>IF(M6=IF(WEEKNUM(DATE(M4,12,28),21)=53,53,52),M4+1,M4)</f>
        <v/>
      </c>
      <c r="O4" s="71">
        <f>IF(N6=IF(WEEKNUM(DATE(N4,12,28),21)=53,53,52),N4+1,N4)</f>
        <v/>
      </c>
      <c r="P4" s="71">
        <f>IF(O6=IF(WEEKNUM(DATE(O4,12,28),21)=53,53,52),O4+1,O4)</f>
        <v/>
      </c>
      <c r="Q4" s="71">
        <f>IF(P6=IF(WEEKNUM(DATE(P4,12,28),21)=53,53,52),P4+1,P4)</f>
        <v/>
      </c>
      <c r="R4" s="71">
        <f>IF(Q6=IF(WEEKNUM(DATE(Q4,12,28),21)=53,53,52),Q4+1,Q4)</f>
        <v/>
      </c>
      <c r="S4" s="71">
        <f>IF(R6=IF(WEEKNUM(DATE(R4,12,28),21)=53,53,52),R4+1,R4)</f>
        <v/>
      </c>
      <c r="T4" s="71">
        <f>IF(S6=IF(WEEKNUM(DATE(S4,12,28),21)=53,53,52),S4+1,S4)</f>
        <v/>
      </c>
      <c r="U4" s="71">
        <f>IF(T6=IF(WEEKNUM(DATE(T4,12,28),21)=53,53,52),T4+1,T4)</f>
        <v/>
      </c>
      <c r="V4" s="71">
        <f>IF(U6=IF(WEEKNUM(DATE(U4,12,28),21)=53,53,52),U4+1,U4)</f>
        <v/>
      </c>
      <c r="W4" s="71">
        <f>IF(V6=IF(WEEKNUM(DATE(V4,12,28),21)=53,53,52),V4+1,V4)</f>
        <v/>
      </c>
      <c r="X4" s="71">
        <f>IF(W6=IF(WEEKNUM(DATE(W4,12,28),21)=53,53,52),W4+1,W4)</f>
        <v/>
      </c>
      <c r="Y4" s="71">
        <f>IF(X6=IF(WEEKNUM(DATE(X4,12,28),21)=53,53,52),X4+1,X4)</f>
        <v/>
      </c>
      <c r="Z4" s="71">
        <f>IF(Y6=IF(WEEKNUM(DATE(Y4,12,28),21)=53,53,52),Y4+1,Y4)</f>
        <v/>
      </c>
      <c r="AA4" s="71">
        <f>IF(Z6=IF(WEEKNUM(DATE(Z4,12,28),21)=53,53,52),Z4+1,Z4)</f>
        <v/>
      </c>
      <c r="AB4" s="71">
        <f>IF(AA6=IF(WEEKNUM(DATE(AA4,12,28),21)=53,53,52),AA4+1,AA4)</f>
        <v/>
      </c>
      <c r="AC4" s="71">
        <f>IF(AB6=IF(WEEKNUM(DATE(AB4,12,28),21)=53,53,52),AB4+1,AB4)</f>
        <v/>
      </c>
      <c r="AD4" s="71">
        <f>IF(AC6=IF(WEEKNUM(DATE(AC4,12,28),21)=53,53,52),AC4+1,AC4)</f>
        <v/>
      </c>
      <c r="AE4" s="71">
        <f>IF(AD6=IF(WEEKNUM(DATE(AD4,12,28),21)=53,53,52),AD4+1,AD4)</f>
        <v/>
      </c>
      <c r="AF4" s="71">
        <f>IF(AE6=IF(WEEKNUM(DATE(AE4,12,28),21)=53,53,52),AE4+1,AE4)</f>
        <v/>
      </c>
      <c r="AG4" s="71">
        <f>IF(AF6=IF(WEEKNUM(DATE(AF4,12,28),21)=53,53,52),AF4+1,AF4)</f>
        <v/>
      </c>
      <c r="AH4" s="71">
        <f>IF(AG6=IF(WEEKNUM(DATE(AG4,12,28),21)=53,53,52),AG4+1,AG4)</f>
        <v/>
      </c>
      <c r="AI4" s="71">
        <f>IF(AH6=IF(WEEKNUM(DATE(AH4,12,28),21)=53,53,52),AH4+1,AH4)</f>
        <v/>
      </c>
      <c r="AJ4" s="71">
        <f>IF(AI6=IF(WEEKNUM(DATE(AI4,12,28),21)=53,53,52),AI4+1,AI4)</f>
        <v/>
      </c>
      <c r="AK4" s="71">
        <f>IF(AJ6=IF(WEEKNUM(DATE(AJ4,12,28),21)=53,53,52),AJ4+1,AJ4)</f>
        <v/>
      </c>
      <c r="AL4" s="71">
        <f>IF(AK6=IF(WEEKNUM(DATE(AK4,12,28),21)=53,53,52),AK4+1,AK4)</f>
        <v/>
      </c>
      <c r="AM4" s="71">
        <f>IF(AL6=IF(WEEKNUM(DATE(AL4,12,28),21)=53,53,52),AL4+1,AL4)</f>
        <v/>
      </c>
      <c r="AN4" s="71">
        <f>IF(AM6=IF(WEEKNUM(DATE(AM4,12,28),21)=53,53,52),AM4+1,AM4)</f>
        <v/>
      </c>
      <c r="AO4" s="71">
        <f>IF(AN6=IF(WEEKNUM(DATE(AN4,12,28),21)=53,53,52),AN4+1,AN4)</f>
        <v/>
      </c>
      <c r="AP4" s="71">
        <f>IF(AO6=IF(WEEKNUM(DATE(AO4,12,28),21)=53,53,52),AO4+1,AO4)</f>
        <v/>
      </c>
      <c r="AQ4" s="71">
        <f>IF(AP6=IF(WEEKNUM(DATE(AP4,12,28),21)=53,53,52),AP4+1,AP4)</f>
        <v/>
      </c>
      <c r="AR4" s="71">
        <f>IF(AQ6=IF(WEEKNUM(DATE(AQ4,12,28),21)=53,53,52),AQ4+1,AQ4)</f>
        <v/>
      </c>
      <c r="AS4" s="71">
        <f>IF(AR6=IF(WEEKNUM(DATE(AR4,12,28),21)=53,53,52),AR4+1,AR4)</f>
        <v/>
      </c>
      <c r="AT4" s="71">
        <f>IF(AS6=IF(WEEKNUM(DATE(AS4,12,28),21)=53,53,52),AS4+1,AS4)</f>
        <v/>
      </c>
      <c r="AU4" s="71">
        <f>IF(AT6=IF(WEEKNUM(DATE(AT4,12,28),21)=53,53,52),AT4+1,AT4)</f>
        <v/>
      </c>
      <c r="AV4" s="71">
        <f>IF(AU6=IF(WEEKNUM(DATE(AU4,12,28),21)=53,53,52),AU4+1,AU4)</f>
        <v/>
      </c>
      <c r="AW4" s="71">
        <f>IF(AV6=IF(WEEKNUM(DATE(AV4,12,28),21)=53,53,52),AV4+1,AV4)</f>
        <v/>
      </c>
      <c r="AX4" s="71">
        <f>IF(AW6=IF(WEEKNUM(DATE(AW4,12,28),21)=53,53,52),AW4+1,AW4)</f>
        <v/>
      </c>
      <c r="AY4" s="71">
        <f>IF(AX6=IF(WEEKNUM(DATE(AX4,12,28),21)=53,53,52),AX4+1,AX4)</f>
        <v/>
      </c>
      <c r="AZ4" s="71">
        <f>IF(AY6=IF(WEEKNUM(DATE(AY4,12,28),21)=53,53,52),AY4+1,AY4)</f>
        <v/>
      </c>
      <c r="BA4" s="71">
        <f>IF(AZ6=IF(WEEKNUM(DATE(AZ4,12,28),21)=53,53,52),AZ4+1,AZ4)</f>
        <v/>
      </c>
      <c r="BB4" s="71">
        <f>IF(BA6=IF(WEEKNUM(DATE(BA4,12,28),21)=53,53,52),BA4+1,BA4)</f>
        <v/>
      </c>
      <c r="BC4" s="71">
        <f>IF(BB6=IF(WEEKNUM(DATE(BB4,12,28),21)=53,53,52),BB4+1,BB4)</f>
        <v/>
      </c>
      <c r="BD4" s="71">
        <f>IF(BC6=IF(WEEKNUM(DATE(BC4,12,28),21)=53,53,52),BC4+1,BC4)</f>
        <v/>
      </c>
      <c r="BE4" s="71">
        <f>IF(BD6=IF(WEEKNUM(DATE(BD4,12,28),21)=53,53,52),BD4+1,BD4)</f>
        <v/>
      </c>
      <c r="BF4" s="71">
        <f>IF(BE6=IF(WEEKNUM(DATE(BE4,12,28),21)=53,53,52),BE4+1,BE4)</f>
        <v/>
      </c>
      <c r="BG4" s="71">
        <f>IF(BF6=IF(WEEKNUM(DATE(BF4,12,28),21)=53,53,52),BF4+1,BF4)</f>
        <v/>
      </c>
      <c r="BH4" s="71">
        <f>IF(BG6=IF(WEEKNUM(DATE(BG4,12,28),21)=53,53,52),BG4+1,BG4)</f>
        <v/>
      </c>
      <c r="BI4" s="71">
        <f>IF(BH6=IF(WEEKNUM(DATE(BH4,12,28),21)=53,53,52),BH4+1,BH4)</f>
        <v/>
      </c>
      <c r="BJ4" s="71">
        <f>IF(BI6=IF(WEEKNUM(DATE(BI4,12,28),21)=53,53,52),BI4+1,BI4)</f>
        <v/>
      </c>
      <c r="BK4" s="71">
        <f>IF(BJ6=IF(WEEKNUM(DATE(BJ4,12,28),21)=53,53,52),BJ4+1,BJ4)</f>
        <v/>
      </c>
      <c r="BL4" s="71">
        <f>IF(BK6=IF(WEEKNUM(DATE(BK4,12,28),21)=53,53,52),BK4+1,BK4)</f>
        <v/>
      </c>
      <c r="BM4" s="71">
        <f>IF(BL6=IF(WEEKNUM(DATE(BL4,12,28),21)=53,53,52),BL4+1,BL4)</f>
        <v/>
      </c>
      <c r="BN4" s="71">
        <f>IF(BM6=IF(WEEKNUM(DATE(BM4,12,28),21)=53,53,52),BM4+1,BM4)</f>
        <v/>
      </c>
      <c r="BO4" s="71">
        <f>IF(BN6=IF(WEEKNUM(DATE(BN4,12,28),21)=53,53,52),BN4+1,BN4)</f>
        <v/>
      </c>
      <c r="BP4" s="71">
        <f>IF(BO6=IF(WEEKNUM(DATE(BO4,12,28),21)=53,53,52),BO4+1,BO4)</f>
        <v/>
      </c>
      <c r="BQ4" s="71">
        <f>IF(BP6=IF(WEEKNUM(DATE(BP4,12,28),21)=53,53,52),BP4+1,BP4)</f>
        <v/>
      </c>
      <c r="BR4" s="71">
        <f>IF(BQ6=IF(WEEKNUM(DATE(BQ4,12,28),21)=53,53,52),BQ4+1,BQ4)</f>
        <v/>
      </c>
      <c r="BS4" s="71">
        <f>IF(BR6=IF(WEEKNUM(DATE(BR4,12,28),21)=53,53,52),BR4+1,BR4)</f>
        <v/>
      </c>
      <c r="BT4" s="71">
        <f>IF(BS6=IF(WEEKNUM(DATE(BS4,12,28),21)=53,53,52),BS4+1,BS4)</f>
        <v/>
      </c>
      <c r="BU4" s="71">
        <f>IF(BT6=IF(WEEKNUM(DATE(BT4,12,28),21)=53,53,52),BT4+1,BT4)</f>
        <v/>
      </c>
      <c r="BV4" s="71">
        <f>IF(BU6=IF(WEEKNUM(DATE(BU4,12,28),21)=53,53,52),BU4+1,BU4)</f>
        <v/>
      </c>
      <c r="BW4" s="71">
        <f>IF(BV6=IF(WEEKNUM(DATE(BV4,12,28),21)=53,53,52),BV4+1,BV4)</f>
        <v/>
      </c>
      <c r="BX4" s="71">
        <f>IF(BW6=IF(WEEKNUM(DATE(BW4,12,28),21)=53,53,52),BW4+1,BW4)</f>
        <v/>
      </c>
      <c r="BY4" s="71">
        <f>IF(BX6=IF(WEEKNUM(DATE(BX4,12,28),21)=53,53,52),BX4+1,BX4)</f>
        <v/>
      </c>
      <c r="BZ4" s="71">
        <f>IF(BY6=IF(WEEKNUM(DATE(BY4,12,28),21)=53,53,52),BY4+1,BY4)</f>
        <v/>
      </c>
      <c r="CA4" s="71">
        <f>IF(BZ6=IF(WEEKNUM(DATE(BZ4,12,28),21)=53,53,52),BZ4+1,BZ4)</f>
        <v/>
      </c>
      <c r="CB4" s="71">
        <f>IF(CA6=IF(WEEKNUM(DATE(CA4,12,28),21)=53,53,52),CA4+1,CA4)</f>
        <v/>
      </c>
      <c r="CC4" s="71">
        <f>IF(CB6=IF(WEEKNUM(DATE(CB4,12,28),21)=53,53,52),CB4+1,CB4)</f>
        <v/>
      </c>
      <c r="CD4" s="71">
        <f>IF(CC6=IF(WEEKNUM(DATE(CC4,12,28),21)=53,53,52),CC4+1,CC4)</f>
        <v/>
      </c>
      <c r="CE4" s="71">
        <f>IF(CD6=IF(WEEKNUM(DATE(CD4,12,28),21)=53,53,52),CD4+1,CD4)</f>
        <v/>
      </c>
      <c r="CF4" s="71">
        <f>IF(CE6=IF(WEEKNUM(DATE(CE4,12,28),21)=53,53,52),CE4+1,CE4)</f>
        <v/>
      </c>
      <c r="CG4" s="71">
        <f>IF(CF6=IF(WEEKNUM(DATE(CF4,12,28),21)=53,53,52),CF4+1,CF4)</f>
        <v/>
      </c>
      <c r="CH4" s="71">
        <f>IF(CG6=IF(WEEKNUM(DATE(CG4,12,28),21)=53,53,52),CG4+1,CG4)</f>
        <v/>
      </c>
      <c r="CI4" s="71">
        <f>IF(CH6=IF(WEEKNUM(DATE(CH4,12,28),21)=53,53,52),CH4+1,CH4)</f>
        <v/>
      </c>
      <c r="CJ4" s="71">
        <f>IF(CI6=IF(WEEKNUM(DATE(CI4,12,28),21)=53,53,52),CI4+1,CI4)</f>
        <v/>
      </c>
      <c r="CK4" s="71">
        <f>IF(CJ6=IF(WEEKNUM(DATE(CJ4,12,28),21)=53,53,52),CJ4+1,CJ4)</f>
        <v/>
      </c>
      <c r="CL4" s="71">
        <f>IF(CK6=IF(WEEKNUM(DATE(CK4,12,28),21)=53,53,52),CK4+1,CK4)</f>
        <v/>
      </c>
      <c r="CM4" s="71">
        <f>IF(CL6=IF(WEEKNUM(DATE(CL4,12,28),21)=53,53,52),CL4+1,CL4)</f>
        <v/>
      </c>
      <c r="CN4" s="71">
        <f>IF(CM6=IF(WEEKNUM(DATE(CM4,12,28),21)=53,53,52),CM4+1,CM4)</f>
        <v/>
      </c>
      <c r="CO4" s="71">
        <f>IF(CN6=IF(WEEKNUM(DATE(CN4,12,28),21)=53,53,52),CN4+1,CN4)</f>
        <v/>
      </c>
      <c r="CP4" s="71">
        <f>IF(CO6=IF(WEEKNUM(DATE(CO4,12,28),21)=53,53,52),CO4+1,CO4)</f>
        <v/>
      </c>
      <c r="CQ4" s="71">
        <f>IF(CP6=IF(WEEKNUM(DATE(CP4,12,28),21)=53,53,52),CP4+1,CP4)</f>
        <v/>
      </c>
      <c r="CR4" s="71">
        <f>IF(CQ6=IF(WEEKNUM(DATE(CQ4,12,28),21)=53,53,52),CQ4+1,CQ4)</f>
        <v/>
      </c>
      <c r="CS4" s="71">
        <f>IF(CR6=IF(WEEKNUM(DATE(CR4,12,28),21)=53,53,52),CR4+1,CR4)</f>
        <v/>
      </c>
      <c r="CT4" s="71">
        <f>IF(CS6=IF(WEEKNUM(DATE(CS4,12,28),21)=53,53,52),CS4+1,CS4)</f>
        <v/>
      </c>
      <c r="CU4" s="71">
        <f>IF(CT6=IF(WEEKNUM(DATE(CT4,12,28),21)=53,53,52),CT4+1,CT4)</f>
        <v/>
      </c>
      <c r="CV4" s="71">
        <f>IF(CU6=IF(WEEKNUM(DATE(CU4,12,28),21)=53,53,52),CU4+1,CU4)</f>
        <v/>
      </c>
      <c r="CW4" s="71">
        <f>IF(CV6=IF(WEEKNUM(DATE(CV4,12,28),21)=53,53,52),CV4+1,CV4)</f>
        <v/>
      </c>
      <c r="CX4" s="71">
        <f>IF(CW6=IF(WEEKNUM(DATE(CW4,12,28),21)=53,53,52),CW4+1,CW4)</f>
        <v/>
      </c>
      <c r="CY4" s="71">
        <f>IF(CX6=IF(WEEKNUM(DATE(CX4,12,28),21)=53,53,52),CX4+1,CX4)</f>
        <v/>
      </c>
      <c r="CZ4" s="71">
        <f>IF(CY6=IF(WEEKNUM(DATE(CY4,12,28),21)=53,53,52),CY4+1,CY4)</f>
        <v/>
      </c>
      <c r="DA4" s="71">
        <f>IF(CZ6=IF(WEEKNUM(DATE(CZ4,12,28),21)=53,53,52),CZ4+1,CZ4)</f>
        <v/>
      </c>
      <c r="DB4" s="71">
        <f>IF(DA6=IF(WEEKNUM(DATE(DA4,12,28),21)=53,53,52),DA4+1,DA4)</f>
        <v/>
      </c>
      <c r="DC4" s="71">
        <f>IF(DB6=IF(WEEKNUM(DATE(DB4,12,28),21)=53,53,52),DB4+1,DB4)</f>
        <v/>
      </c>
      <c r="DD4" s="71">
        <f>IF(DC6=IF(WEEKNUM(DATE(DC4,12,28),21)=53,53,52),DC4+1,DC4)</f>
        <v/>
      </c>
      <c r="DE4" s="71">
        <f>IF(DD6=IF(WEEKNUM(DATE(DD4,12,28),21)=53,53,52),DD4+1,DD4)</f>
        <v/>
      </c>
      <c r="DF4" s="71">
        <f>IF(DE6=IF(WEEKNUM(DATE(DE4,12,28),21)=53,53,52),DE4+1,DE4)</f>
        <v/>
      </c>
      <c r="DG4" s="71">
        <f>IF(DF6=IF(WEEKNUM(DATE(DF4,12,28),21)=53,53,52),DF4+1,DF4)</f>
        <v/>
      </c>
      <c r="DH4" s="71">
        <f>IF(DG6=IF(WEEKNUM(DATE(DG4,12,28),21)=53,53,52),DG4+1,DG4)</f>
        <v/>
      </c>
      <c r="DI4" s="71">
        <f>IF(DH6=IF(WEEKNUM(DATE(DH4,12,28),21)=53,53,52),DH4+1,DH4)</f>
        <v/>
      </c>
      <c r="DJ4" s="71">
        <f>IF(DI6=IF(WEEKNUM(DATE(DI4,12,28),21)=53,53,52),DI4+1,DI4)</f>
        <v/>
      </c>
      <c r="DK4" s="71">
        <f>IF(DJ6=IF(WEEKNUM(DATE(DJ4,12,28),21)=53,53,52),DJ4+1,DJ4)</f>
        <v/>
      </c>
      <c r="DL4" s="71">
        <f>IF(DK6=IF(WEEKNUM(DATE(DK4,12,28),21)=53,53,52),DK4+1,DK4)</f>
        <v/>
      </c>
      <c r="DM4" s="71">
        <f>IF(DL6=IF(WEEKNUM(DATE(DL4,12,28),21)=53,53,52),DL4+1,DL4)</f>
        <v/>
      </c>
      <c r="DN4" s="71">
        <f>IF(DM6=IF(WEEKNUM(DATE(DM4,12,28),21)=53,53,52),DM4+1,DM4)</f>
        <v/>
      </c>
      <c r="DO4" s="71">
        <f>IF(DN6=IF(WEEKNUM(DATE(DN4,12,28),21)=53,53,52),DN4+1,DN4)</f>
        <v/>
      </c>
      <c r="DP4" s="71">
        <f>IF(DO6=IF(WEEKNUM(DATE(DO4,12,28),21)=53,53,52),DO4+1,DO4)</f>
        <v/>
      </c>
      <c r="DQ4" s="71">
        <f>IF(DP6=IF(WEEKNUM(DATE(DP4,12,28),21)=53,53,52),DP4+1,DP4)</f>
        <v/>
      </c>
      <c r="DR4" s="71">
        <f>IF(DQ6=IF(WEEKNUM(DATE(DQ4,12,28),21)=53,53,52),DQ4+1,DQ4)</f>
        <v/>
      </c>
      <c r="DS4" s="71">
        <f>IF(DR6=IF(WEEKNUM(DATE(DR4,12,28),21)=53,53,52),DR4+1,DR4)</f>
        <v/>
      </c>
      <c r="DT4" s="71">
        <f>IF(DS6=IF(WEEKNUM(DATE(DS4,12,28),21)=53,53,52),DS4+1,DS4)</f>
        <v/>
      </c>
      <c r="DU4" s="71">
        <f>IF(DT6=IF(WEEKNUM(DATE(DT4,12,28),21)=53,53,52),DT4+1,DT4)</f>
        <v/>
      </c>
      <c r="DV4" s="71">
        <f>IF(DU6=IF(WEEKNUM(DATE(DU4,12,28),21)=53,53,52),DU4+1,DU4)</f>
        <v/>
      </c>
      <c r="DW4" s="71">
        <f>IF(DV6=IF(WEEKNUM(DATE(DV4,12,28),21)=53,53,52),DV4+1,DV4)</f>
        <v/>
      </c>
      <c r="DX4" s="71">
        <f>IF(DW6=IF(WEEKNUM(DATE(DW4,12,28),21)=53,53,52),DW4+1,DW4)</f>
        <v/>
      </c>
      <c r="DY4" s="71">
        <f>IF(DX6=IF(WEEKNUM(DATE(DX4,12,28),21)=53,53,52),DX4+1,DX4)</f>
        <v/>
      </c>
      <c r="DZ4" s="71">
        <f>IF(DY6=IF(WEEKNUM(DATE(DY4,12,28),21)=53,53,52),DY4+1,DY4)</f>
        <v/>
      </c>
      <c r="EA4" s="71">
        <f>IF(DZ6=IF(WEEKNUM(DATE(DZ4,12,28),21)=53,53,52),DZ4+1,DZ4)</f>
        <v/>
      </c>
      <c r="EB4" s="71">
        <f>IF(EA6=IF(WEEKNUM(DATE(EA4,12,28),21)=53,53,52),EA4+1,EA4)</f>
        <v/>
      </c>
      <c r="EC4" s="71">
        <f>IF(EB6=IF(WEEKNUM(DATE(EB4,12,28),21)=53,53,52),EB4+1,EB4)</f>
        <v/>
      </c>
      <c r="ED4" s="71">
        <f>IF(EC6=IF(WEEKNUM(DATE(EC4,12,28),21)=53,53,52),EC4+1,EC4)</f>
        <v/>
      </c>
      <c r="EE4" s="71">
        <f>IF(ED6=IF(WEEKNUM(DATE(ED4,12,28),21)=53,53,52),ED4+1,ED4)</f>
        <v/>
      </c>
      <c r="EF4" s="71">
        <f>IF(EE6=IF(WEEKNUM(DATE(EE4,12,28),21)=53,53,52),EE4+1,EE4)</f>
        <v/>
      </c>
      <c r="EG4" s="71">
        <f>IF(EF6=IF(WEEKNUM(DATE(EF4,12,28),21)=53,53,52),EF4+1,EF4)</f>
        <v/>
      </c>
      <c r="EH4" s="71">
        <f>IF(EG6=IF(WEEKNUM(DATE(EG4,12,28),21)=53,53,52),EG4+1,EG4)</f>
        <v/>
      </c>
      <c r="EI4" s="71">
        <f>IF(EH6=IF(WEEKNUM(DATE(EH4,12,28),21)=53,53,52),EH4+1,EH4)</f>
        <v/>
      </c>
      <c r="EJ4" s="71">
        <f>IF(EI6=IF(WEEKNUM(DATE(EI4,12,28),21)=53,53,52),EI4+1,EI4)</f>
        <v/>
      </c>
      <c r="EK4" s="71">
        <f>IF(EJ6=IF(WEEKNUM(DATE(EJ4,12,28),21)=53,53,52),EJ4+1,EJ4)</f>
        <v/>
      </c>
      <c r="EL4" s="71">
        <f>IF(EK6=IF(WEEKNUM(DATE(EK4,12,28),21)=53,53,52),EK4+1,EK4)</f>
        <v/>
      </c>
      <c r="EM4" s="71">
        <f>IF(EL6=IF(WEEKNUM(DATE(EL4,12,28),21)=53,53,52),EL4+1,EL4)</f>
        <v/>
      </c>
      <c r="EN4" s="71">
        <f>IF(EM6=IF(WEEKNUM(DATE(EM4,12,28),21)=53,53,52),EM4+1,EM4)</f>
        <v/>
      </c>
      <c r="EO4" s="71">
        <f>IF(EN6=IF(WEEKNUM(DATE(EN4,12,28),21)=53,53,52),EN4+1,EN4)</f>
        <v/>
      </c>
      <c r="EP4" s="71">
        <f>IF(EO6=IF(WEEKNUM(DATE(EO4,12,28),21)=53,53,52),EO4+1,EO4)</f>
        <v/>
      </c>
      <c r="EQ4" s="71">
        <f>IF(EP6=IF(WEEKNUM(DATE(EP4,12,28),21)=53,53,52),EP4+1,EP4)</f>
        <v/>
      </c>
      <c r="ER4" s="71">
        <f>IF(EQ6=IF(WEEKNUM(DATE(EQ4,12,28),21)=53,53,52),EQ4+1,EQ4)</f>
        <v/>
      </c>
      <c r="ES4" s="71">
        <f>IF(ER6=IF(WEEKNUM(DATE(ER4,12,28),21)=53,53,52),ER4+1,ER4)</f>
        <v/>
      </c>
      <c r="ET4" s="71">
        <f>IF(ES6=IF(WEEKNUM(DATE(ES4,12,28),21)=53,53,52),ES4+1,ES4)</f>
        <v/>
      </c>
      <c r="EU4" s="71">
        <f>IF(ET6=IF(WEEKNUM(DATE(ET4,12,28),21)=53,53,52),ET4+1,ET4)</f>
        <v/>
      </c>
      <c r="EV4" s="71">
        <f>IF(EU6=IF(WEEKNUM(DATE(EU4,12,28),21)=53,53,52),EU4+1,EU4)</f>
        <v/>
      </c>
      <c r="EW4" s="71">
        <f>IF(EV6=IF(WEEKNUM(DATE(EV4,12,28),21)=53,53,52),EV4+1,EV4)</f>
        <v/>
      </c>
      <c r="EX4" s="71">
        <f>IF(EW6=IF(WEEKNUM(DATE(EW4,12,28),21)=53,53,52),EW4+1,EW4)</f>
        <v/>
      </c>
      <c r="EY4" s="71">
        <f>IF(EX6=IF(WEEKNUM(DATE(EX4,12,28),21)=53,53,52),EX4+1,EX4)</f>
        <v/>
      </c>
      <c r="EZ4" s="71">
        <f>IF(EY6=IF(WEEKNUM(DATE(EY4,12,28),21)=53,53,52),EY4+1,EY4)</f>
        <v/>
      </c>
      <c r="FA4" s="71">
        <f>IF(EZ6=IF(WEEKNUM(DATE(EZ4,12,28),21)=53,53,52),EZ4+1,EZ4)</f>
        <v/>
      </c>
      <c r="FB4" s="71">
        <f>IF(FA6=IF(WEEKNUM(DATE(FA4,12,28),21)=53,53,52),FA4+1,FA4)</f>
        <v/>
      </c>
      <c r="FC4" s="71">
        <f>IF(FB6=IF(WEEKNUM(DATE(FB4,12,28),21)=53,53,52),FB4+1,FB4)</f>
        <v/>
      </c>
      <c r="FD4" s="71">
        <f>IF(FC6=IF(WEEKNUM(DATE(FC4,12,28),21)=53,53,52),FC4+1,FC4)</f>
        <v/>
      </c>
      <c r="FE4" s="71">
        <f>IF(FD6=IF(WEEKNUM(DATE(FD4,12,28),21)=53,53,52),FD4+1,FD4)</f>
        <v/>
      </c>
      <c r="FF4" s="71">
        <f>IF(FE6=IF(WEEKNUM(DATE(FE4,12,28),21)=53,53,52),FE4+1,FE4)</f>
        <v/>
      </c>
      <c r="FG4" s="71">
        <f>IF(FF6=IF(WEEKNUM(DATE(FF4,12,28),21)=53,53,52),FF4+1,FF4)</f>
        <v/>
      </c>
      <c r="FH4" s="71">
        <f>IF(FG6=IF(WEEKNUM(DATE(FG4,12,28),21)=53,53,52),FG4+1,FG4)</f>
        <v/>
      </c>
      <c r="FI4" s="71">
        <f>IF(FH6=IF(WEEKNUM(DATE(FH4,12,28),21)=53,53,52),FH4+1,FH4)</f>
        <v/>
      </c>
      <c r="FJ4" s="71">
        <f>IF(FI6=IF(WEEKNUM(DATE(FI4,12,28),21)=53,53,52),FI4+1,FI4)</f>
        <v/>
      </c>
      <c r="FK4" s="71">
        <f>IF(FJ6=IF(WEEKNUM(DATE(FJ4,12,28),21)=53,53,52),FJ4+1,FJ4)</f>
        <v/>
      </c>
      <c r="FL4" s="71">
        <f>IF(FK6=IF(WEEKNUM(DATE(FK4,12,28),21)=53,53,52),FK4+1,FK4)</f>
        <v/>
      </c>
      <c r="FM4" s="71">
        <f>IF(FL6=IF(WEEKNUM(DATE(FL4,12,28),21)=53,53,52),FL4+1,FL4)</f>
        <v/>
      </c>
      <c r="FN4" s="71">
        <f>IF(FM6=IF(WEEKNUM(DATE(FM4,12,28),21)=53,53,52),FM4+1,FM4)</f>
        <v/>
      </c>
      <c r="FO4" s="71">
        <f>IF(FN6=IF(WEEKNUM(DATE(FN4,12,28),21)=53,53,52),FN4+1,FN4)</f>
        <v/>
      </c>
      <c r="FP4" s="71">
        <f>IF(FO6=IF(WEEKNUM(DATE(FO4,12,28),21)=53,53,52),FO4+1,FO4)</f>
        <v/>
      </c>
      <c r="FQ4" s="71">
        <f>IF(FP6=IF(WEEKNUM(DATE(FP4,12,28),21)=53,53,52),FP4+1,FP4)</f>
        <v/>
      </c>
      <c r="FR4" s="71">
        <f>IF(FQ6=IF(WEEKNUM(DATE(FQ4,12,28),21)=53,53,52),FQ4+1,FQ4)</f>
        <v/>
      </c>
      <c r="FS4" s="71">
        <f>IF(FR6=IF(WEEKNUM(DATE(FR4,12,28),21)=53,53,52),FR4+1,FR4)</f>
        <v/>
      </c>
      <c r="FT4" s="71">
        <f>IF(FS6=IF(WEEKNUM(DATE(FS4,12,28),21)=53,53,52),FS4+1,FS4)</f>
        <v/>
      </c>
      <c r="FU4" s="71">
        <f>IF(FT6=IF(WEEKNUM(DATE(FT4,12,28),21)=53,53,52),FT4+1,FT4)</f>
        <v/>
      </c>
      <c r="FV4" s="71">
        <f>IF(FU6=IF(WEEKNUM(DATE(FU4,12,28),21)=53,53,52),FU4+1,FU4)</f>
        <v/>
      </c>
      <c r="FW4" s="71">
        <f>IF(FV6=IF(WEEKNUM(DATE(FV4,12,28),21)=53,53,52),FV4+1,FV4)</f>
        <v/>
      </c>
      <c r="FX4" s="71">
        <f>IF(FW6=IF(WEEKNUM(DATE(FW4,12,28),21)=53,53,52),FW4+1,FW4)</f>
        <v/>
      </c>
      <c r="FY4" s="71">
        <f>IF(FX6=IF(WEEKNUM(DATE(FX4,12,28),21)=53,53,52),FX4+1,FX4)</f>
        <v/>
      </c>
      <c r="FZ4" s="71">
        <f>IF(FY6=IF(WEEKNUM(DATE(FY4,12,28),21)=53,53,52),FY4+1,FY4)</f>
        <v/>
      </c>
      <c r="GA4" s="71">
        <f>IF(FZ6=IF(WEEKNUM(DATE(FZ4,12,28),21)=53,53,52),FZ4+1,FZ4)</f>
        <v/>
      </c>
      <c r="GB4" s="71">
        <f>IF(GA6=IF(WEEKNUM(DATE(GA4,12,28),21)=53,53,52),GA4+1,GA4)</f>
        <v/>
      </c>
      <c r="GC4" s="71">
        <f>IF(GB6=IF(WEEKNUM(DATE(GB4,12,28),21)=53,53,52),GB4+1,GB4)</f>
        <v/>
      </c>
      <c r="GD4" s="71">
        <f>IF(GC6=IF(WEEKNUM(DATE(GC4,12,28),21)=53,53,52),GC4+1,GC4)</f>
        <v/>
      </c>
      <c r="GE4" s="71">
        <f>IF(GD6=IF(WEEKNUM(DATE(GD4,12,28),21)=53,53,52),GD4+1,GD4)</f>
        <v/>
      </c>
      <c r="GF4" s="71">
        <f>IF(GE6=IF(WEEKNUM(DATE(GE4,12,28),21)=53,53,52),GE4+1,GE4)</f>
        <v/>
      </c>
      <c r="GG4" s="71">
        <f>IF(GF6=IF(WEEKNUM(DATE(GF4,12,28),21)=53,53,52),GF4+1,GF4)</f>
        <v/>
      </c>
      <c r="GH4" s="71">
        <f>IF(GG6=IF(WEEKNUM(DATE(GG4,12,28),21)=53,53,52),GG4+1,GG4)</f>
        <v/>
      </c>
      <c r="GI4" s="71">
        <f>IF(GH6=IF(WEEKNUM(DATE(GH4,12,28),21)=53,53,52),GH4+1,GH4)</f>
        <v/>
      </c>
      <c r="GJ4" s="71">
        <f>IF(GI6=IF(WEEKNUM(DATE(GI4,12,28),21)=53,53,52),GI4+1,GI4)</f>
        <v/>
      </c>
      <c r="GK4" s="71">
        <f>IF(GJ6=IF(WEEKNUM(DATE(GJ4,12,28),21)=53,53,52),GJ4+1,GJ4)</f>
        <v/>
      </c>
      <c r="GL4" s="71">
        <f>IF(GK6=IF(WEEKNUM(DATE(GK4,12,28),21)=53,53,52),GK4+1,GK4)</f>
        <v/>
      </c>
      <c r="GM4" s="71">
        <f>IF(GL6=IF(WEEKNUM(DATE(GL4,12,28),21)=53,53,52),GL4+1,GL4)</f>
        <v/>
      </c>
      <c r="GN4" s="71">
        <f>IF(GM6=IF(WEEKNUM(DATE(GM4,12,28),21)=53,53,52),GM4+1,GM4)</f>
        <v/>
      </c>
      <c r="GO4" s="71">
        <f>IF(GN6=IF(WEEKNUM(DATE(GN4,12,28),21)=53,53,52),GN4+1,GN4)</f>
        <v/>
      </c>
      <c r="GP4" s="71">
        <f>IF(GO6=IF(WEEKNUM(DATE(GO4,12,28),21)=53,53,52),GO4+1,GO4)</f>
        <v/>
      </c>
      <c r="GQ4" s="71">
        <f>IF(GP6=IF(WEEKNUM(DATE(GP4,12,28),21)=53,53,52),GP4+1,GP4)</f>
        <v/>
      </c>
      <c r="GR4" s="71">
        <f>IF(GQ6=IF(WEEKNUM(DATE(GQ4,12,28),21)=53,53,52),GQ4+1,GQ4)</f>
        <v/>
      </c>
      <c r="GS4" s="71">
        <f>IF(GR6=IF(WEEKNUM(DATE(GR4,12,28),21)=53,53,52),GR4+1,GR4)</f>
        <v/>
      </c>
      <c r="GT4" s="71">
        <f>IF(GS6=IF(WEEKNUM(DATE(GS4,12,28),21)=53,53,52),GS4+1,GS4)</f>
        <v/>
      </c>
      <c r="GU4" s="71">
        <f>IF(GT6=IF(WEEKNUM(DATE(GT4,12,28),21)=53,53,52),GT4+1,GT4)</f>
        <v/>
      </c>
      <c r="GV4" s="71">
        <f>IF(GU6=IF(WEEKNUM(DATE(GU4,12,28),21)=53,53,52),GU4+1,GU4)</f>
        <v/>
      </c>
      <c r="GW4" s="71">
        <f>IF(GV6=IF(WEEKNUM(DATE(GV4,12,28),21)=53,53,52),GV4+1,GV4)</f>
        <v/>
      </c>
      <c r="GX4" s="71">
        <f>IF(GW6=IF(WEEKNUM(DATE(GW4,12,28),21)=53,53,52),GW4+1,GW4)</f>
        <v/>
      </c>
      <c r="GY4" s="71">
        <f>IF(GX6=IF(WEEKNUM(DATE(GX4,12,28),21)=53,53,52),GX4+1,GX4)</f>
        <v/>
      </c>
      <c r="GZ4" s="71">
        <f>IF(GY6=IF(WEEKNUM(DATE(GY4,12,28),21)=53,53,52),GY4+1,GY4)</f>
        <v/>
      </c>
      <c r="HA4" s="71">
        <f>IF(GZ6=IF(WEEKNUM(DATE(GZ4,12,28),21)=53,53,52),GZ4+1,GZ4)</f>
        <v/>
      </c>
      <c r="HB4" s="71">
        <f>IF(HA6=IF(WEEKNUM(DATE(HA4,12,28),21)=53,53,52),HA4+1,HA4)</f>
        <v/>
      </c>
      <c r="HC4" s="71">
        <f>IF(HB6=IF(WEEKNUM(DATE(HB4,12,28),21)=53,53,52),HB4+1,HB4)</f>
        <v/>
      </c>
      <c r="HD4" s="71">
        <f>IF(HC6=IF(WEEKNUM(DATE(HC4,12,28),21)=53,53,52),HC4+1,HC4)</f>
        <v/>
      </c>
      <c r="HE4" s="71">
        <f>IF(HD6=IF(WEEKNUM(DATE(HD4,12,28),21)=53,53,52),HD4+1,HD4)</f>
        <v/>
      </c>
      <c r="HF4" s="71">
        <f>IF(HE6=IF(WEEKNUM(DATE(HE4,12,28),21)=53,53,52),HE4+1,HE4)</f>
        <v/>
      </c>
      <c r="HG4" s="71">
        <f>IF(HF6=IF(WEEKNUM(DATE(HF4,12,28),21)=53,53,52),HF4+1,HF4)</f>
        <v/>
      </c>
      <c r="HH4" s="71">
        <f>IF(HG6=IF(WEEKNUM(DATE(HG4,12,28),21)=53,53,52),HG4+1,HG4)</f>
        <v/>
      </c>
      <c r="HI4" s="71">
        <f>IF(HH6=IF(WEEKNUM(DATE(HH4,12,28),21)=53,53,52),HH4+1,HH4)</f>
        <v/>
      </c>
      <c r="HJ4" s="71">
        <f>IF(HI6=IF(WEEKNUM(DATE(HI4,12,28),21)=53,53,52),HI4+1,HI4)</f>
        <v/>
      </c>
      <c r="HK4" s="71">
        <f>IF(HJ6=IF(WEEKNUM(DATE(HJ4,12,28),21)=53,53,52),HJ4+1,HJ4)</f>
        <v/>
      </c>
      <c r="HL4" s="71">
        <f>IF(HK6=IF(WEEKNUM(DATE(HK4,12,28),21)=53,53,52),HK4+1,HK4)</f>
        <v/>
      </c>
      <c r="HM4" s="71">
        <f>IF(HL6=IF(WEEKNUM(DATE(HL4,12,28),21)=53,53,52),HL4+1,HL4)</f>
        <v/>
      </c>
      <c r="HN4" s="71">
        <f>IF(HM6=IF(WEEKNUM(DATE(HM4,12,28),21)=53,53,52),HM4+1,HM4)</f>
        <v/>
      </c>
      <c r="HO4" s="71">
        <f>IF(HN6=IF(WEEKNUM(DATE(HN4,12,28),21)=53,53,52),HN4+1,HN4)</f>
        <v/>
      </c>
      <c r="HP4" s="71">
        <f>IF(HO6=IF(WEEKNUM(DATE(HO4,12,28),21)=53,53,52),HO4+1,HO4)</f>
        <v/>
      </c>
      <c r="HQ4" s="71">
        <f>IF(HP6=IF(WEEKNUM(DATE(HP4,12,28),21)=53,53,52),HP4+1,HP4)</f>
        <v/>
      </c>
      <c r="HR4" s="71">
        <f>IF(HQ6=IF(WEEKNUM(DATE(HQ4,12,28),21)=53,53,52),HQ4+1,HQ4)</f>
        <v/>
      </c>
      <c r="HS4" s="71">
        <f>IF(HR6=IF(WEEKNUM(DATE(HR4,12,28),21)=53,53,52),HR4+1,HR4)</f>
        <v/>
      </c>
      <c r="HT4" s="71">
        <f>IF(HS6=IF(WEEKNUM(DATE(HS4,12,28),21)=53,53,52),HS4+1,HS4)</f>
        <v/>
      </c>
      <c r="HU4" s="71">
        <f>IF(HT6=IF(WEEKNUM(DATE(HT4,12,28),21)=53,53,52),HT4+1,HT4)</f>
        <v/>
      </c>
      <c r="HV4" s="71">
        <f>IF(HU6=IF(WEEKNUM(DATE(HU4,12,28),21)=53,53,52),HU4+1,HU4)</f>
        <v/>
      </c>
      <c r="HW4" s="71">
        <f>IF(HV6=IF(WEEKNUM(DATE(HV4,12,28),21)=53,53,52),HV4+1,HV4)</f>
        <v/>
      </c>
      <c r="HX4" s="71">
        <f>IF(HW6=IF(WEEKNUM(DATE(HW4,12,28),21)=53,53,52),HW4+1,HW4)</f>
        <v/>
      </c>
      <c r="HY4" s="71">
        <f>IF(HX6=IF(WEEKNUM(DATE(HX4,12,28),21)=53,53,52),HX4+1,HX4)</f>
        <v/>
      </c>
      <c r="HZ4" s="71">
        <f>IF(HY6=IF(WEEKNUM(DATE(HY4,12,28),21)=53,53,52),HY4+1,HY4)</f>
        <v/>
      </c>
      <c r="IA4" s="71">
        <f>IF(HZ6=IF(WEEKNUM(DATE(HZ4,12,28),21)=53,53,52),HZ4+1,HZ4)</f>
        <v/>
      </c>
      <c r="IB4" s="71">
        <f>IF(IA6=IF(WEEKNUM(DATE(IA4,12,28),21)=53,53,52),IA4+1,IA4)</f>
        <v/>
      </c>
      <c r="IC4" s="71">
        <f>IF(IB6=IF(WEEKNUM(DATE(IB4,12,28),21)=53,53,52),IB4+1,IB4)</f>
        <v/>
      </c>
      <c r="ID4" s="71">
        <f>IF(IC6=IF(WEEKNUM(DATE(IC4,12,28),21)=53,53,52),IC4+1,IC4)</f>
        <v/>
      </c>
      <c r="IE4" s="71">
        <f>IF(ID6=IF(WEEKNUM(DATE(ID4,12,28),21)=53,53,52),ID4+1,ID4)</f>
        <v/>
      </c>
      <c r="IF4" s="71">
        <f>IF(IE6=IF(WEEKNUM(DATE(IE4,12,28),21)=53,53,52),IE4+1,IE4)</f>
        <v/>
      </c>
      <c r="IG4" s="71">
        <f>IF(IF6=IF(WEEKNUM(DATE(IF4,12,28),21)=53,53,52),IF4+1,IF4)</f>
        <v/>
      </c>
      <c r="IH4" s="71">
        <f>IF(IG6=IF(WEEKNUM(DATE(IG4,12,28),21)=53,53,52),IG4+1,IG4)</f>
        <v/>
      </c>
      <c r="II4" s="71">
        <f>IF(IH6=IF(WEEKNUM(DATE(IH4,12,28),21)=53,53,52),IH4+1,IH4)</f>
        <v/>
      </c>
      <c r="IJ4" s="71">
        <f>IF(II6=IF(WEEKNUM(DATE(II4,12,28),21)=53,53,52),II4+1,II4)</f>
        <v/>
      </c>
      <c r="IK4" s="71">
        <f>IF(IJ6=IF(WEEKNUM(DATE(IJ4,12,28),21)=53,53,52),IJ4+1,IJ4)</f>
        <v/>
      </c>
      <c r="IL4" s="71">
        <f>IF(IK6=IF(WEEKNUM(DATE(IK4,12,28),21)=53,53,52),IK4+1,IK4)</f>
        <v/>
      </c>
      <c r="IM4" s="71">
        <f>IF(IL6=IF(WEEKNUM(DATE(IL4,12,28),21)=53,53,52),IL4+1,IL4)</f>
        <v/>
      </c>
      <c r="IN4" s="71">
        <f>IF(IM6=IF(WEEKNUM(DATE(IM4,12,28),21)=53,53,52),IM4+1,IM4)</f>
        <v/>
      </c>
      <c r="IO4" s="71">
        <f>IF(IN6=IF(WEEKNUM(DATE(IN4,12,28),21)=53,53,52),IN4+1,IN4)</f>
        <v/>
      </c>
      <c r="IP4" s="71">
        <f>IF(IO6=IF(WEEKNUM(DATE(IO4,12,28),21)=53,53,52),IO4+1,IO4)</f>
        <v/>
      </c>
      <c r="IQ4" s="71">
        <f>IF(IP6=IF(WEEKNUM(DATE(IP4,12,28),21)=53,53,52),IP4+1,IP4)</f>
        <v/>
      </c>
      <c r="IR4" s="71">
        <f>IF(IQ6=IF(WEEKNUM(DATE(IQ4,12,28),21)=53,53,52),IQ4+1,IQ4)</f>
        <v/>
      </c>
      <c r="IS4" s="71">
        <f>IF(IR6=IF(WEEKNUM(DATE(IR4,12,28),21)=53,53,52),IR4+1,IR4)</f>
        <v/>
      </c>
      <c r="IT4" s="71">
        <f>IF(IS6=IF(WEEKNUM(DATE(IS4,12,28),21)=53,53,52),IS4+1,IS4)</f>
        <v/>
      </c>
      <c r="IU4" s="71">
        <f>IF(IT6=IF(WEEKNUM(DATE(IT4,12,28),21)=53,53,52),IT4+1,IT4)</f>
        <v/>
      </c>
      <c r="IV4" s="71">
        <f>IF(IU6=IF(WEEKNUM(DATE(IU4,12,28),21)=53,53,52),IU4+1,IU4)</f>
        <v/>
      </c>
      <c r="IW4" s="71">
        <f>IF(IV6=IF(WEEKNUM(DATE(IV4,12,28),21)=53,53,52),IV4+1,IV4)</f>
        <v/>
      </c>
      <c r="IX4" s="71">
        <f>IF(IW6=IF(WEEKNUM(DATE(IW4,12,28),21)=53,53,52),IW4+1,IW4)</f>
        <v/>
      </c>
      <c r="IY4" s="71">
        <f>IF(IX6=IF(WEEKNUM(DATE(IX4,12,28),21)=53,53,52),IX4+1,IX4)</f>
        <v/>
      </c>
      <c r="IZ4" s="71">
        <f>IF(IY6=IF(WEEKNUM(DATE(IY4,12,28),21)=53,53,52),IY4+1,IY4)</f>
        <v/>
      </c>
      <c r="JA4" s="71">
        <f>IF(IZ6=IF(WEEKNUM(DATE(IZ4,12,28),21)=53,53,52),IZ4+1,IZ4)</f>
        <v/>
      </c>
      <c r="JB4" s="71">
        <f>IF(JA6=IF(WEEKNUM(DATE(JA4,12,28),21)=53,53,52),JA4+1,JA4)</f>
        <v/>
      </c>
      <c r="JC4" s="71">
        <f>IF(JB6=IF(WEEKNUM(DATE(JB4,12,28),21)=53,53,52),JB4+1,JB4)</f>
        <v/>
      </c>
      <c r="JD4" s="71">
        <f>IF(JC6=IF(WEEKNUM(DATE(JC4,12,28),21)=53,53,52),JC4+1,JC4)</f>
        <v/>
      </c>
      <c r="JE4" s="71">
        <f>IF(JD6=IF(WEEKNUM(DATE(JD4,12,28),21)=53,53,52),JD4+1,JD4)</f>
        <v/>
      </c>
      <c r="JF4" s="71">
        <f>IF(JE6=IF(WEEKNUM(DATE(JE4,12,28),21)=53,53,52),JE4+1,JE4)</f>
        <v/>
      </c>
      <c r="JG4" s="71">
        <f>IF(JF6=IF(WEEKNUM(DATE(JF4,12,28),21)=53,53,52),JF4+1,JF4)</f>
        <v/>
      </c>
      <c r="JH4" s="71">
        <f>IF(JG6=IF(WEEKNUM(DATE(JG4,12,28),21)=53,53,52),JG4+1,JG4)</f>
        <v/>
      </c>
      <c r="JI4" s="71">
        <f>IF(JH6=IF(WEEKNUM(DATE(JH4,12,28),21)=53,53,52),JH4+1,JH4)</f>
        <v/>
      </c>
      <c r="JJ4" s="71">
        <f>IF(JI6=IF(WEEKNUM(DATE(JI4,12,28),21)=53,53,52),JI4+1,JI4)</f>
        <v/>
      </c>
      <c r="JK4" s="71">
        <f>IF(JJ6=IF(WEEKNUM(DATE(JJ4,12,28),21)=53,53,52),JJ4+1,JJ4)</f>
        <v/>
      </c>
      <c r="JL4" s="71">
        <f>IF(JK6=IF(WEEKNUM(DATE(JK4,12,28),21)=53,53,52),JK4+1,JK4)</f>
        <v/>
      </c>
      <c r="JM4" s="71">
        <f>IF(JL6=IF(WEEKNUM(DATE(JL4,12,28),21)=53,53,52),JL4+1,JL4)</f>
        <v/>
      </c>
      <c r="JN4" s="71">
        <f>IF(JM6=IF(WEEKNUM(DATE(JM4,12,28),21)=53,53,52),JM4+1,JM4)</f>
        <v/>
      </c>
      <c r="JO4" s="71">
        <f>IF(JN6=IF(WEEKNUM(DATE(JN4,12,28),21)=53,53,52),JN4+1,JN4)</f>
        <v/>
      </c>
      <c r="JP4" s="71">
        <f>IF(JO6=IF(WEEKNUM(DATE(JO4,12,28),21)=53,53,52),JO4+1,JO4)</f>
        <v/>
      </c>
      <c r="JQ4" s="71">
        <f>IF(JP6=IF(WEEKNUM(DATE(JP4,12,28),21)=53,53,52),JP4+1,JP4)</f>
        <v/>
      </c>
      <c r="JR4" s="71">
        <f>IF(JQ6=IF(WEEKNUM(DATE(JQ4,12,28),21)=53,53,52),JQ4+1,JQ4)</f>
        <v/>
      </c>
      <c r="JS4" s="71">
        <f>IF(JR6=IF(WEEKNUM(DATE(JR4,12,28),21)=53,53,52),JR4+1,JR4)</f>
        <v/>
      </c>
      <c r="JT4" s="71">
        <f>IF(JS6=IF(WEEKNUM(DATE(JS4,12,28),21)=53,53,52),JS4+1,JS4)</f>
        <v/>
      </c>
      <c r="JU4" s="71">
        <f>IF(JT6=IF(WEEKNUM(DATE(JT4,12,28),21)=53,53,52),JT4+1,JT4)</f>
        <v/>
      </c>
      <c r="JV4" s="71">
        <f>IF(JU6=IF(WEEKNUM(DATE(JU4,12,28),21)=53,53,52),JU4+1,JU4)</f>
        <v/>
      </c>
      <c r="JW4" s="71">
        <f>IF(JV6=IF(WEEKNUM(DATE(JV4,12,28),21)=53,53,52),JV4+1,JV4)</f>
        <v/>
      </c>
      <c r="JX4" s="71">
        <f>IF(JW6=IF(WEEKNUM(DATE(JW4,12,28),21)=53,53,52),JW4+1,JW4)</f>
        <v/>
      </c>
      <c r="JY4" s="71">
        <f>IF(JX6=IF(WEEKNUM(DATE(JX4,12,28),21)=53,53,52),JX4+1,JX4)</f>
        <v/>
      </c>
      <c r="JZ4" s="71">
        <f>IF(JY6=IF(WEEKNUM(DATE(JY4,12,28),21)=53,53,52),JY4+1,JY4)</f>
        <v/>
      </c>
      <c r="KA4" s="71">
        <f>IF(JZ6=IF(WEEKNUM(DATE(JZ4,12,28),21)=53,53,52),JZ4+1,JZ4)</f>
        <v/>
      </c>
      <c r="KB4" s="71">
        <f>IF(KA6=IF(WEEKNUM(DATE(KA4,12,28),21)=53,53,52),KA4+1,KA4)</f>
        <v/>
      </c>
      <c r="KC4" s="71">
        <f>IF(KB6=IF(WEEKNUM(DATE(KB4,12,28),21)=53,53,52),KB4+1,KB4)</f>
        <v/>
      </c>
      <c r="KD4" s="71">
        <f>IF(KC6=IF(WEEKNUM(DATE(KC4,12,28),21)=53,53,52),KC4+1,KC4)</f>
        <v/>
      </c>
      <c r="KE4" s="71">
        <f>IF(KD6=IF(WEEKNUM(DATE(KD4,12,28),21)=53,53,52),KD4+1,KD4)</f>
        <v/>
      </c>
      <c r="KF4" s="71">
        <f>IF(KE6=IF(WEEKNUM(DATE(KE4,12,28),21)=53,53,52),KE4+1,KE4)</f>
        <v/>
      </c>
      <c r="KG4" s="71">
        <f>IF(KF6=IF(WEEKNUM(DATE(KF4,12,28),21)=53,53,52),KF4+1,KF4)</f>
        <v/>
      </c>
      <c r="KH4" s="71">
        <f>IF(KG6=IF(WEEKNUM(DATE(KG4,12,28),21)=53,53,52),KG4+1,KG4)</f>
        <v/>
      </c>
      <c r="KI4" s="71">
        <f>IF(KH6=IF(WEEKNUM(DATE(KH4,12,28),21)=53,53,52),KH4+1,KH4)</f>
        <v/>
      </c>
      <c r="KJ4" s="71">
        <f>IF(KI6=IF(WEEKNUM(DATE(KI4,12,28),21)=53,53,52),KI4+1,KI4)</f>
        <v/>
      </c>
      <c r="KK4" s="71">
        <f>IF(KJ6=IF(WEEKNUM(DATE(KJ4,12,28),21)=53,53,52),KJ4+1,KJ4)</f>
        <v/>
      </c>
      <c r="KL4" s="71">
        <f>IF(KK6=IF(WEEKNUM(DATE(KK4,12,28),21)=53,53,52),KK4+1,KK4)</f>
        <v/>
      </c>
      <c r="KM4" s="71">
        <f>IF(KL6=IF(WEEKNUM(DATE(KL4,12,28),21)=53,53,52),KL4+1,KL4)</f>
        <v/>
      </c>
      <c r="KN4" s="71">
        <f>IF(KM6=IF(WEEKNUM(DATE(KM4,12,28),21)=53,53,52),KM4+1,KM4)</f>
        <v/>
      </c>
      <c r="KO4" s="71">
        <f>IF(KN6=IF(WEEKNUM(DATE(KN4,12,28),21)=53,53,52),KN4+1,KN4)</f>
        <v/>
      </c>
      <c r="KP4" s="71">
        <f>IF(KO6=IF(WEEKNUM(DATE(KO4,12,28),21)=53,53,52),KO4+1,KO4)</f>
        <v/>
      </c>
      <c r="KQ4" s="71">
        <f>IF(KP6=IF(WEEKNUM(DATE(KP4,12,28),21)=53,53,52),KP4+1,KP4)</f>
        <v/>
      </c>
      <c r="KR4" s="71">
        <f>IF(KQ6=IF(WEEKNUM(DATE(KQ4,12,28),21)=53,53,52),KQ4+1,KQ4)</f>
        <v/>
      </c>
      <c r="KS4" s="71">
        <f>IF(KR6=IF(WEEKNUM(DATE(KR4,12,28),21)=53,53,52),KR4+1,KR4)</f>
        <v/>
      </c>
      <c r="KT4" s="71">
        <f>IF(KS6=IF(WEEKNUM(DATE(KS4,12,28),21)=53,53,52),KS4+1,KS4)</f>
        <v/>
      </c>
      <c r="KU4" s="71">
        <f>IF(KT6=IF(WEEKNUM(DATE(KT4,12,28),21)=53,53,52),KT4+1,KT4)</f>
        <v/>
      </c>
      <c r="KV4" s="71">
        <f>IF(KU6=IF(WEEKNUM(DATE(KU4,12,28),21)=53,53,52),KU4+1,KU4)</f>
        <v/>
      </c>
      <c r="KW4" s="71">
        <f>IF(KV6=IF(WEEKNUM(DATE(KV4,12,28),21)=53,53,52),KV4+1,KV4)</f>
        <v/>
      </c>
      <c r="KX4" s="71">
        <f>IF(KW6=IF(WEEKNUM(DATE(KW4,12,28),21)=53,53,52),KW4+1,KW4)</f>
        <v/>
      </c>
      <c r="KY4" s="71">
        <f>IF(KX6=IF(WEEKNUM(DATE(KX4,12,28),21)=53,53,52),KX4+1,KX4)</f>
        <v/>
      </c>
      <c r="KZ4" s="71">
        <f>IF(KY6=IF(WEEKNUM(DATE(KY4,12,28),21)=53,53,52),KY4+1,KY4)</f>
        <v/>
      </c>
      <c r="LA4" s="71">
        <f>IF(KZ6=IF(WEEKNUM(DATE(KZ4,12,28),21)=53,53,52),KZ4+1,KZ4)</f>
        <v/>
      </c>
      <c r="LB4" s="71">
        <f>IF(LA6=IF(WEEKNUM(DATE(LA4,12,28),21)=53,53,52),LA4+1,LA4)</f>
        <v/>
      </c>
      <c r="LC4" s="71">
        <f>IF(LB6=IF(WEEKNUM(DATE(LB4,12,28),21)=53,53,52),LB4+1,LB4)</f>
        <v/>
      </c>
      <c r="LD4" s="71">
        <f>IF(LC6=IF(WEEKNUM(DATE(LC4,12,28),21)=53,53,52),LC4+1,LC4)</f>
        <v/>
      </c>
      <c r="LE4" s="71">
        <f>IF(LD6=IF(WEEKNUM(DATE(LD4,12,28),21)=53,53,52),LD4+1,LD4)</f>
        <v/>
      </c>
      <c r="LF4" s="71">
        <f>IF(LE6=IF(WEEKNUM(DATE(LE4,12,28),21)=53,53,52),LE4+1,LE4)</f>
        <v/>
      </c>
      <c r="LG4" s="71">
        <f>IF(LF6=IF(WEEKNUM(DATE(LF4,12,28),21)=53,53,52),LF4+1,LF4)</f>
        <v/>
      </c>
      <c r="LH4" s="71">
        <f>IF(LG6=IF(WEEKNUM(DATE(LG4,12,28),21)=53,53,52),LG4+1,LG4)</f>
        <v/>
      </c>
      <c r="LI4" s="71">
        <f>IF(LH6=IF(WEEKNUM(DATE(LH4,12,28),21)=53,53,52),LH4+1,LH4)</f>
        <v/>
      </c>
      <c r="LJ4" s="71">
        <f>IF(LI6=IF(WEEKNUM(DATE(LI4,12,28),21)=53,53,52),LI4+1,LI4)</f>
        <v/>
      </c>
      <c r="LK4" s="71">
        <f>IF(LJ6=IF(WEEKNUM(DATE(LJ4,12,28),21)=53,53,52),LJ4+1,LJ4)</f>
        <v/>
      </c>
      <c r="LL4" s="71">
        <f>IF(LK6=IF(WEEKNUM(DATE(LK4,12,28),21)=53,53,52),LK4+1,LK4)</f>
        <v/>
      </c>
      <c r="LM4" s="71">
        <f>IF(LL6=IF(WEEKNUM(DATE(LL4,12,28),21)=53,53,52),LL4+1,LL4)</f>
        <v/>
      </c>
      <c r="LN4" s="71">
        <f>IF(LM6=IF(WEEKNUM(DATE(LM4,12,28),21)=53,53,52),LM4+1,LM4)</f>
        <v/>
      </c>
      <c r="LO4" s="71">
        <f>IF(LN6=IF(WEEKNUM(DATE(LN4,12,28),21)=53,53,52),LN4+1,LN4)</f>
        <v/>
      </c>
      <c r="LP4" s="71">
        <f>IF(LO6=IF(WEEKNUM(DATE(LO4,12,28),21)=53,53,52),LO4+1,LO4)</f>
        <v/>
      </c>
      <c r="LQ4" s="71">
        <f>IF(LP6=IF(WEEKNUM(DATE(LP4,12,28),21)=53,53,52),LP4+1,LP4)</f>
        <v/>
      </c>
      <c r="LR4" s="71">
        <f>IF(LQ6=IF(WEEKNUM(DATE(LQ4,12,28),21)=53,53,52),LQ4+1,LQ4)</f>
        <v/>
      </c>
    </row>
    <row r="5" ht="21.75" customHeight="1" s="113">
      <c r="A5" s="128" t="n"/>
      <c r="B5" s="128" t="n"/>
      <c r="C5" s="125" t="n"/>
      <c r="D5" s="125" t="n"/>
      <c r="E5" s="125" t="n"/>
      <c r="F5" s="72">
        <f>TEXT(DATE(F4,1,1)+(F6-1)*7,"MMM")</f>
        <v/>
      </c>
      <c r="G5" s="72">
        <f>TEXT(DATE(G4,1,1)+(G6-1)*7,"MMM")</f>
        <v/>
      </c>
      <c r="H5" s="72">
        <f>TEXT(DATE(H4,1,1)+(H6-1)*7,"MMM")</f>
        <v/>
      </c>
      <c r="I5" s="72">
        <f>TEXT(DATE(I4,1,1)+(I6-1)*7,"MMM")</f>
        <v/>
      </c>
      <c r="J5" s="72">
        <f>TEXT(DATE(J4,1,1)+(J6-1)*7,"MMM")</f>
        <v/>
      </c>
      <c r="K5" s="72">
        <f>TEXT(DATE(K4,1,1)+(K6-1)*7,"MMM")</f>
        <v/>
      </c>
      <c r="L5" s="72">
        <f>TEXT(DATE(L4,1,1)+(L6-1)*7,"MMM")</f>
        <v/>
      </c>
      <c r="M5" s="72">
        <f>TEXT(DATE(M4,1,1)+(M6-1)*7,"MMM")</f>
        <v/>
      </c>
      <c r="N5" s="72">
        <f>TEXT(DATE(N4,1,1)+(N6-1)*7,"MMM")</f>
        <v/>
      </c>
      <c r="O5" s="72">
        <f>TEXT(DATE(O4,1,1)+(O6-1)*7,"MMM")</f>
        <v/>
      </c>
      <c r="P5" s="72">
        <f>TEXT(DATE(P4,1,1)+(P6-1)*7,"MMM")</f>
        <v/>
      </c>
      <c r="Q5" s="72">
        <f>TEXT(DATE(Q4,1,1)+(Q6-1)*7,"MMM")</f>
        <v/>
      </c>
      <c r="R5" s="72">
        <f>TEXT(DATE(R4,1,1)+(R6-1)*7,"MMM")</f>
        <v/>
      </c>
      <c r="S5" s="72">
        <f>TEXT(DATE(S4,1,1)+(S6-1)*7,"MMM")</f>
        <v/>
      </c>
      <c r="T5" s="72">
        <f>TEXT(DATE(T4,1,1)+(T6-1)*7,"MMM")</f>
        <v/>
      </c>
      <c r="U5" s="72">
        <f>TEXT(DATE(U4,1,1)+(U6-1)*7,"MMM")</f>
        <v/>
      </c>
      <c r="V5" s="72">
        <f>TEXT(DATE(V4,1,1)+(V6-1)*7,"MMM")</f>
        <v/>
      </c>
      <c r="W5" s="72">
        <f>TEXT(DATE(W4,1,1)+(W6-1)*7,"MMM")</f>
        <v/>
      </c>
      <c r="X5" s="72">
        <f>TEXT(DATE(X4,1,1)+(X6-1)*7,"MMM")</f>
        <v/>
      </c>
      <c r="Y5" s="72">
        <f>TEXT(DATE(Y4,1,1)+(Y6-1)*7,"MMM")</f>
        <v/>
      </c>
      <c r="Z5" s="72">
        <f>TEXT(DATE(Z4,1,1)+(Z6-1)*7,"MMM")</f>
        <v/>
      </c>
      <c r="AA5" s="72">
        <f>TEXT(DATE(AA4,1,1)+(AA6-1)*7,"MMM")</f>
        <v/>
      </c>
      <c r="AB5" s="72">
        <f>TEXT(DATE(AB4,1,1)+(AB6-1)*7,"MMM")</f>
        <v/>
      </c>
      <c r="AC5" s="72">
        <f>TEXT(DATE(AC4,1,1)+(AC6-1)*7,"MMM")</f>
        <v/>
      </c>
      <c r="AD5" s="72">
        <f>TEXT(DATE(AD4,1,1)+(AD6-1)*7,"MMM")</f>
        <v/>
      </c>
      <c r="AE5" s="72">
        <f>TEXT(DATE(AE4,1,1)+(AE6-1)*7,"MMM")</f>
        <v/>
      </c>
      <c r="AF5" s="72">
        <f>TEXT(DATE(AF4,1,1)+(AF6-1)*7,"MMM")</f>
        <v/>
      </c>
      <c r="AG5" s="72">
        <f>TEXT(DATE(AG4,1,1)+(AG6-1)*7,"MMM")</f>
        <v/>
      </c>
      <c r="AH5" s="72">
        <f>TEXT(DATE(AH4,1,1)+(AH6-1)*7,"MMM")</f>
        <v/>
      </c>
      <c r="AI5" s="72">
        <f>TEXT(DATE(AI4,1,1)+(AI6-1)*7,"MMM")</f>
        <v/>
      </c>
      <c r="AJ5" s="72">
        <f>TEXT(DATE(AJ4,1,1)+(AJ6-1)*7,"MMM")</f>
        <v/>
      </c>
      <c r="AK5" s="72">
        <f>TEXT(DATE(AK4,1,1)+(AK6-1)*7,"MMM")</f>
        <v/>
      </c>
      <c r="AL5" s="72">
        <f>TEXT(DATE(AL4,1,1)+(AL6-1)*7,"MMM")</f>
        <v/>
      </c>
      <c r="AM5" s="72">
        <f>TEXT(DATE(AM4,1,1)+(AM6-1)*7,"MMM")</f>
        <v/>
      </c>
      <c r="AN5" s="72">
        <f>TEXT(DATE(AN4,1,1)+(AN6-1)*7,"MMM")</f>
        <v/>
      </c>
      <c r="AO5" s="72">
        <f>TEXT(DATE(AO4,1,1)+(AO6-1)*7,"MMM")</f>
        <v/>
      </c>
      <c r="AP5" s="72">
        <f>TEXT(DATE(AP4,1,1)+(AP6-1)*7,"MMM")</f>
        <v/>
      </c>
      <c r="AQ5" s="72">
        <f>TEXT(DATE(AQ4,1,1)+(AQ6-1)*7,"MMM")</f>
        <v/>
      </c>
      <c r="AR5" s="72">
        <f>TEXT(DATE(AR4,1,1)+(AR6-1)*7,"MMM")</f>
        <v/>
      </c>
      <c r="AS5" s="72">
        <f>TEXT(DATE(AS4,1,1)+(AS6-1)*7,"MMM")</f>
        <v/>
      </c>
      <c r="AT5" s="72">
        <f>TEXT(DATE(AT4,1,1)+(AT6-1)*7,"MMM")</f>
        <v/>
      </c>
      <c r="AU5" s="72">
        <f>TEXT(DATE(AU4,1,1)+(AU6-1)*7,"MMM")</f>
        <v/>
      </c>
      <c r="AV5" s="72">
        <f>TEXT(DATE(AV4,1,1)+(AV6-1)*7,"MMM")</f>
        <v/>
      </c>
      <c r="AW5" s="72">
        <f>TEXT(DATE(AW4,1,1)+(AW6-1)*7,"MMM")</f>
        <v/>
      </c>
      <c r="AX5" s="72">
        <f>TEXT(DATE(AX4,1,1)+(AX6-1)*7,"MMM")</f>
        <v/>
      </c>
      <c r="AY5" s="72">
        <f>TEXT(DATE(AY4,1,1)+(AY6-1)*7,"MMM")</f>
        <v/>
      </c>
      <c r="AZ5" s="72">
        <f>TEXT(DATE(AZ4,1,1)+(AZ6-1)*7,"MMM")</f>
        <v/>
      </c>
      <c r="BA5" s="72">
        <f>TEXT(DATE(BA4,1,1)+(BA6-1)*7,"MMM")</f>
        <v/>
      </c>
      <c r="BB5" s="72">
        <f>TEXT(DATE(BB4,1,1)+(BB6-1)*7,"MMM")</f>
        <v/>
      </c>
      <c r="BC5" s="72">
        <f>TEXT(DATE(BC4,1,1)+(BC6-1)*7,"MMM")</f>
        <v/>
      </c>
      <c r="BD5" s="72">
        <f>TEXT(DATE(BD4,1,1)+(BD6-1)*7,"MMM")</f>
        <v/>
      </c>
      <c r="BE5" s="72">
        <f>TEXT(DATE(BE4,1,1)+(BE6-1)*7,"MMM")</f>
        <v/>
      </c>
      <c r="BF5" s="72">
        <f>TEXT(DATE(BF4,1,1)+(BF6-1)*7,"MMM")</f>
        <v/>
      </c>
      <c r="BG5" s="72">
        <f>TEXT(DATE(BG4,1,1)+(BG6-1)*7,"MMM")</f>
        <v/>
      </c>
      <c r="BH5" s="72">
        <f>TEXT(DATE(BH4,1,1)+(BH6-1)*7,"MMM")</f>
        <v/>
      </c>
      <c r="BI5" s="72">
        <f>TEXT(DATE(BI4,1,1)+(BI6-1)*7,"MMM")</f>
        <v/>
      </c>
      <c r="BJ5" s="72">
        <f>TEXT(DATE(BJ4,1,1)+(BJ6-1)*7,"MMM")</f>
        <v/>
      </c>
      <c r="BK5" s="72">
        <f>TEXT(DATE(BK4,1,1)+(BK6-1)*7,"MMM")</f>
        <v/>
      </c>
      <c r="BL5" s="72">
        <f>TEXT(DATE(BL4,1,1)+(BL6-1)*7,"MMM")</f>
        <v/>
      </c>
      <c r="BM5" s="72">
        <f>TEXT(DATE(BM4,1,1)+(BM6-1)*7,"MMM")</f>
        <v/>
      </c>
      <c r="BN5" s="72">
        <f>TEXT(DATE(BN4,1,1)+(BN6-1)*7,"MMM")</f>
        <v/>
      </c>
      <c r="BO5" s="72">
        <f>TEXT(DATE(BO4,1,1)+(BO6-1)*7,"MMM")</f>
        <v/>
      </c>
      <c r="BP5" s="72">
        <f>TEXT(DATE(BP4,1,1)+(BP6-1)*7,"MMM")</f>
        <v/>
      </c>
      <c r="BQ5" s="72">
        <f>TEXT(DATE(BQ4,1,1)+(BQ6-1)*7,"MMM")</f>
        <v/>
      </c>
      <c r="BR5" s="72">
        <f>TEXT(DATE(BR4,1,1)+(BR6-1)*7,"MMM")</f>
        <v/>
      </c>
      <c r="BS5" s="72">
        <f>TEXT(DATE(BS4,1,1)+(BS6-1)*7,"MMM")</f>
        <v/>
      </c>
      <c r="BT5" s="72">
        <f>TEXT(DATE(BT4,1,1)+(BT6-1)*7,"MMM")</f>
        <v/>
      </c>
      <c r="BU5" s="72">
        <f>TEXT(DATE(BU4,1,1)+(BU6-1)*7,"MMM")</f>
        <v/>
      </c>
      <c r="BV5" s="72">
        <f>TEXT(DATE(BV4,1,1)+(BV6-1)*7,"MMM")</f>
        <v/>
      </c>
      <c r="BW5" s="72">
        <f>TEXT(DATE(BW4,1,1)+(BW6-1)*7,"MMM")</f>
        <v/>
      </c>
      <c r="BX5" s="72">
        <f>TEXT(DATE(BX4,1,1)+(BX6-1)*7,"MMM")</f>
        <v/>
      </c>
      <c r="BY5" s="72">
        <f>TEXT(DATE(BY4,1,1)+(BY6-1)*7,"MMM")</f>
        <v/>
      </c>
      <c r="BZ5" s="72">
        <f>TEXT(DATE(BZ4,1,1)+(BZ6-1)*7,"MMM")</f>
        <v/>
      </c>
      <c r="CA5" s="72">
        <f>TEXT(DATE(CA4,1,1)+(CA6-1)*7,"MMM")</f>
        <v/>
      </c>
      <c r="CB5" s="72">
        <f>TEXT(DATE(CB4,1,1)+(CB6-1)*7,"MMM")</f>
        <v/>
      </c>
      <c r="CC5" s="72">
        <f>TEXT(DATE(CC4,1,1)+(CC6-1)*7,"MMM")</f>
        <v/>
      </c>
      <c r="CD5" s="72">
        <f>TEXT(DATE(CD4,1,1)+(CD6-1)*7,"MMM")</f>
        <v/>
      </c>
      <c r="CE5" s="72">
        <f>TEXT(DATE(CE4,1,1)+(CE6-1)*7,"MMM")</f>
        <v/>
      </c>
      <c r="CF5" s="72">
        <f>TEXT(DATE(CF4,1,1)+(CF6-1)*7,"MMM")</f>
        <v/>
      </c>
      <c r="CG5" s="72">
        <f>TEXT(DATE(CG4,1,1)+(CG6-1)*7,"MMM")</f>
        <v/>
      </c>
      <c r="CH5" s="72">
        <f>TEXT(DATE(CH4,1,1)+(CH6-1)*7,"MMM")</f>
        <v/>
      </c>
      <c r="CI5" s="72">
        <f>TEXT(DATE(CI4,1,1)+(CI6-1)*7,"MMM")</f>
        <v/>
      </c>
      <c r="CJ5" s="72">
        <f>TEXT(DATE(CJ4,1,1)+(CJ6-1)*7,"MMM")</f>
        <v/>
      </c>
      <c r="CK5" s="72">
        <f>TEXT(DATE(CK4,1,1)+(CK6-1)*7,"MMM")</f>
        <v/>
      </c>
      <c r="CL5" s="72">
        <f>TEXT(DATE(CL4,1,1)+(CL6-1)*7,"MMM")</f>
        <v/>
      </c>
      <c r="CM5" s="72">
        <f>TEXT(DATE(CM4,1,1)+(CM6-1)*7,"MMM")</f>
        <v/>
      </c>
      <c r="CN5" s="72">
        <f>TEXT(DATE(CN4,1,1)+(CN6-1)*7,"MMM")</f>
        <v/>
      </c>
      <c r="CO5" s="72">
        <f>TEXT(DATE(CO4,1,1)+(CO6-1)*7,"MMM")</f>
        <v/>
      </c>
      <c r="CP5" s="72">
        <f>TEXT(DATE(CP4,1,1)+(CP6-1)*7,"MMM")</f>
        <v/>
      </c>
      <c r="CQ5" s="72">
        <f>TEXT(DATE(CQ4,1,1)+(CQ6-1)*7,"MMM")</f>
        <v/>
      </c>
      <c r="CR5" s="72">
        <f>TEXT(DATE(CR4,1,1)+(CR6-1)*7,"MMM")</f>
        <v/>
      </c>
      <c r="CS5" s="72">
        <f>TEXT(DATE(CS4,1,1)+(CS6-1)*7,"MMM")</f>
        <v/>
      </c>
      <c r="CT5" s="72">
        <f>TEXT(DATE(CT4,1,1)+(CT6-1)*7,"MMM")</f>
        <v/>
      </c>
      <c r="CU5" s="72">
        <f>TEXT(DATE(CU4,1,1)+(CU6-1)*7,"MMM")</f>
        <v/>
      </c>
      <c r="CV5" s="72">
        <f>TEXT(DATE(CV4,1,1)+(CV6-1)*7,"MMM")</f>
        <v/>
      </c>
      <c r="CW5" s="72">
        <f>TEXT(DATE(CW4,1,1)+(CW6-1)*7,"MMM")</f>
        <v/>
      </c>
      <c r="CX5" s="72">
        <f>TEXT(DATE(CX4,1,1)+(CX6-1)*7,"MMM")</f>
        <v/>
      </c>
      <c r="CY5" s="72">
        <f>TEXT(DATE(CY4,1,1)+(CY6-1)*7,"MMM")</f>
        <v/>
      </c>
      <c r="CZ5" s="72">
        <f>TEXT(DATE(CZ4,1,1)+(CZ6-1)*7,"MMM")</f>
        <v/>
      </c>
      <c r="DA5" s="72">
        <f>TEXT(DATE(DA4,1,1)+(DA6-1)*7,"MMM")</f>
        <v/>
      </c>
      <c r="DB5" s="72">
        <f>TEXT(DATE(DB4,1,1)+(DB6-1)*7,"MMM")</f>
        <v/>
      </c>
      <c r="DC5" s="72">
        <f>TEXT(DATE(DC4,1,1)+(DC6-1)*7,"MMM")</f>
        <v/>
      </c>
      <c r="DD5" s="72">
        <f>TEXT(DATE(DD4,1,1)+(DD6-1)*7,"MMM")</f>
        <v/>
      </c>
      <c r="DE5" s="72">
        <f>TEXT(DATE(DE4,1,1)+(DE6-1)*7,"MMM")</f>
        <v/>
      </c>
      <c r="DF5" s="72">
        <f>TEXT(DATE(DF4,1,1)+(DF6-1)*7,"MMM")</f>
        <v/>
      </c>
      <c r="DG5" s="72">
        <f>TEXT(DATE(DG4,1,1)+(DG6-1)*7,"MMM")</f>
        <v/>
      </c>
      <c r="DH5" s="72">
        <f>TEXT(DATE(DH4,1,1)+(DH6-1)*7,"MMM")</f>
        <v/>
      </c>
      <c r="DI5" s="72">
        <f>TEXT(DATE(DI4,1,1)+(DI6-1)*7,"MMM")</f>
        <v/>
      </c>
      <c r="DJ5" s="72">
        <f>TEXT(DATE(DJ4,1,1)+(DJ6-1)*7,"MMM")</f>
        <v/>
      </c>
      <c r="DK5" s="72">
        <f>TEXT(DATE(DK4,1,1)+(DK6-1)*7,"MMM")</f>
        <v/>
      </c>
      <c r="DL5" s="72">
        <f>TEXT(DATE(DL4,1,1)+(DL6-1)*7,"MMM")</f>
        <v/>
      </c>
      <c r="DM5" s="72">
        <f>TEXT(DATE(DM4,1,1)+(DM6-1)*7,"MMM")</f>
        <v/>
      </c>
      <c r="DN5" s="72">
        <f>TEXT(DATE(DN4,1,1)+(DN6-1)*7,"MMM")</f>
        <v/>
      </c>
      <c r="DO5" s="72">
        <f>TEXT(DATE(DO4,1,1)+(DO6-1)*7,"MMM")</f>
        <v/>
      </c>
      <c r="DP5" s="72">
        <f>TEXT(DATE(DP4,1,1)+(DP6-1)*7,"MMM")</f>
        <v/>
      </c>
      <c r="DQ5" s="72">
        <f>TEXT(DATE(DQ4,1,1)+(DQ6-1)*7,"MMM")</f>
        <v/>
      </c>
      <c r="DR5" s="72">
        <f>TEXT(DATE(DR4,1,1)+(DR6-1)*7,"MMM")</f>
        <v/>
      </c>
      <c r="DS5" s="72">
        <f>TEXT(DATE(DS4,1,1)+(DS6-1)*7,"MMM")</f>
        <v/>
      </c>
      <c r="DT5" s="72">
        <f>TEXT(DATE(DT4,1,1)+(DT6-1)*7,"MMM")</f>
        <v/>
      </c>
      <c r="DU5" s="72">
        <f>TEXT(DATE(DU4,1,1)+(DU6-1)*7,"MMM")</f>
        <v/>
      </c>
      <c r="DV5" s="72">
        <f>TEXT(DATE(DV4,1,1)+(DV6-1)*7,"MMM")</f>
        <v/>
      </c>
      <c r="DW5" s="72">
        <f>TEXT(DATE(DW4,1,1)+(DW6-1)*7,"MMM")</f>
        <v/>
      </c>
      <c r="DX5" s="72">
        <f>TEXT(DATE(DX4,1,1)+(DX6-1)*7,"MMM")</f>
        <v/>
      </c>
      <c r="DY5" s="72">
        <f>TEXT(DATE(DY4,1,1)+(DY6-1)*7,"MMM")</f>
        <v/>
      </c>
      <c r="DZ5" s="72">
        <f>TEXT(DATE(DZ4,1,1)+(DZ6-1)*7,"MMM")</f>
        <v/>
      </c>
      <c r="EA5" s="72">
        <f>TEXT(DATE(EA4,1,1)+(EA6-1)*7,"MMM")</f>
        <v/>
      </c>
      <c r="EB5" s="72">
        <f>TEXT(DATE(EB4,1,1)+(EB6-1)*7,"MMM")</f>
        <v/>
      </c>
      <c r="EC5" s="72">
        <f>TEXT(DATE(EC4,1,1)+(EC6-1)*7,"MMM")</f>
        <v/>
      </c>
      <c r="ED5" s="72">
        <f>TEXT(DATE(ED4,1,1)+(ED6-1)*7,"MMM")</f>
        <v/>
      </c>
      <c r="EE5" s="72">
        <f>TEXT(DATE(EE4,1,1)+(EE6-1)*7,"MMM")</f>
        <v/>
      </c>
      <c r="EF5" s="72">
        <f>TEXT(DATE(EF4,1,1)+(EF6-1)*7,"MMM")</f>
        <v/>
      </c>
      <c r="EG5" s="72">
        <f>TEXT(DATE(EG4,1,1)+(EG6-1)*7,"MMM")</f>
        <v/>
      </c>
      <c r="EH5" s="72">
        <f>TEXT(DATE(EH4,1,1)+(EH6-1)*7,"MMM")</f>
        <v/>
      </c>
      <c r="EI5" s="72">
        <f>TEXT(DATE(EI4,1,1)+(EI6-1)*7,"MMM")</f>
        <v/>
      </c>
      <c r="EJ5" s="72">
        <f>TEXT(DATE(EJ4,1,1)+(EJ6-1)*7,"MMM")</f>
        <v/>
      </c>
      <c r="EK5" s="72">
        <f>TEXT(DATE(EK4,1,1)+(EK6-1)*7,"MMM")</f>
        <v/>
      </c>
      <c r="EL5" s="72">
        <f>TEXT(DATE(EL4,1,1)+(EL6-1)*7,"MMM")</f>
        <v/>
      </c>
      <c r="EM5" s="72">
        <f>TEXT(DATE(EM4,1,1)+(EM6-1)*7,"MMM")</f>
        <v/>
      </c>
      <c r="EN5" s="72">
        <f>TEXT(DATE(EN4,1,1)+(EN6-1)*7,"MMM")</f>
        <v/>
      </c>
      <c r="EO5" s="72">
        <f>TEXT(DATE(EO4,1,1)+(EO6-1)*7,"MMM")</f>
        <v/>
      </c>
      <c r="EP5" s="72">
        <f>TEXT(DATE(EP4,1,1)+(EP6-1)*7,"MMM")</f>
        <v/>
      </c>
      <c r="EQ5" s="72">
        <f>TEXT(DATE(EQ4,1,1)+(EQ6-1)*7,"MMM")</f>
        <v/>
      </c>
      <c r="ER5" s="72">
        <f>TEXT(DATE(ER4,1,1)+(ER6-1)*7,"MMM")</f>
        <v/>
      </c>
      <c r="ES5" s="72">
        <f>TEXT(DATE(ES4,1,1)+(ES6-1)*7,"MMM")</f>
        <v/>
      </c>
      <c r="ET5" s="72">
        <f>TEXT(DATE(ET4,1,1)+(ET6-1)*7,"MMM")</f>
        <v/>
      </c>
      <c r="EU5" s="72">
        <f>TEXT(DATE(EU4,1,1)+(EU6-1)*7,"MMM")</f>
        <v/>
      </c>
      <c r="EV5" s="72">
        <f>TEXT(DATE(EV4,1,1)+(EV6-1)*7,"MMM")</f>
        <v/>
      </c>
      <c r="EW5" s="72">
        <f>TEXT(DATE(EW4,1,1)+(EW6-1)*7,"MMM")</f>
        <v/>
      </c>
      <c r="EX5" s="72">
        <f>TEXT(DATE(EX4,1,1)+(EX6-1)*7,"MMM")</f>
        <v/>
      </c>
      <c r="EY5" s="72">
        <f>TEXT(DATE(EY4,1,1)+(EY6-1)*7,"MMM")</f>
        <v/>
      </c>
      <c r="EZ5" s="72">
        <f>TEXT(DATE(EZ4,1,1)+(EZ6-1)*7,"MMM")</f>
        <v/>
      </c>
      <c r="FA5" s="72">
        <f>TEXT(DATE(FA4,1,1)+(FA6-1)*7,"MMM")</f>
        <v/>
      </c>
      <c r="FB5" s="72">
        <f>TEXT(DATE(FB4,1,1)+(FB6-1)*7,"MMM")</f>
        <v/>
      </c>
      <c r="FC5" s="72">
        <f>TEXT(DATE(FC4,1,1)+(FC6-1)*7,"MMM")</f>
        <v/>
      </c>
      <c r="FD5" s="72">
        <f>TEXT(DATE(FD4,1,1)+(FD6-1)*7,"MMM")</f>
        <v/>
      </c>
      <c r="FE5" s="72">
        <f>TEXT(DATE(FE4,1,1)+(FE6-1)*7,"MMM")</f>
        <v/>
      </c>
      <c r="FF5" s="72">
        <f>TEXT(DATE(FF4,1,1)+(FF6-1)*7,"MMM")</f>
        <v/>
      </c>
      <c r="FG5" s="72">
        <f>TEXT(DATE(FG4,1,1)+(FG6-1)*7,"MMM")</f>
        <v/>
      </c>
      <c r="FH5" s="72">
        <f>TEXT(DATE(FH4,1,1)+(FH6-1)*7,"MMM")</f>
        <v/>
      </c>
      <c r="FI5" s="72">
        <f>TEXT(DATE(FI4,1,1)+(FI6-1)*7,"MMM")</f>
        <v/>
      </c>
      <c r="FJ5" s="72">
        <f>TEXT(DATE(FJ4,1,1)+(FJ6-1)*7,"MMM")</f>
        <v/>
      </c>
      <c r="FK5" s="72">
        <f>TEXT(DATE(FK4,1,1)+(FK6-1)*7,"MMM")</f>
        <v/>
      </c>
      <c r="FL5" s="72">
        <f>TEXT(DATE(FL4,1,1)+(FL6-1)*7,"MMM")</f>
        <v/>
      </c>
      <c r="FM5" s="72">
        <f>TEXT(DATE(FM4,1,1)+(FM6-1)*7,"MMM")</f>
        <v/>
      </c>
      <c r="FN5" s="72">
        <f>TEXT(DATE(FN4,1,1)+(FN6-1)*7,"MMM")</f>
        <v/>
      </c>
      <c r="FO5" s="72">
        <f>TEXT(DATE(FO4,1,1)+(FO6-1)*7,"MMM")</f>
        <v/>
      </c>
      <c r="FP5" s="72">
        <f>TEXT(DATE(FP4,1,1)+(FP6-1)*7,"MMM")</f>
        <v/>
      </c>
      <c r="FQ5" s="72">
        <f>TEXT(DATE(FQ4,1,1)+(FQ6-1)*7,"MMM")</f>
        <v/>
      </c>
      <c r="FR5" s="72">
        <f>TEXT(DATE(FR4,1,1)+(FR6-1)*7,"MMM")</f>
        <v/>
      </c>
      <c r="FS5" s="72">
        <f>TEXT(DATE(FS4,1,1)+(FS6-1)*7,"MMM")</f>
        <v/>
      </c>
      <c r="FT5" s="72">
        <f>TEXT(DATE(FT4,1,1)+(FT6-1)*7,"MMM")</f>
        <v/>
      </c>
      <c r="FU5" s="72">
        <f>TEXT(DATE(FU4,1,1)+(FU6-1)*7,"MMM")</f>
        <v/>
      </c>
      <c r="FV5" s="72">
        <f>TEXT(DATE(FV4,1,1)+(FV6-1)*7,"MMM")</f>
        <v/>
      </c>
      <c r="FW5" s="72">
        <f>TEXT(DATE(FW4,1,1)+(FW6-1)*7,"MMM")</f>
        <v/>
      </c>
      <c r="FX5" s="72">
        <f>TEXT(DATE(FX4,1,1)+(FX6-1)*7,"MMM")</f>
        <v/>
      </c>
      <c r="FY5" s="72">
        <f>TEXT(DATE(FY4,1,1)+(FY6-1)*7,"MMM")</f>
        <v/>
      </c>
      <c r="FZ5" s="72">
        <f>TEXT(DATE(FZ4,1,1)+(FZ6-1)*7,"MMM")</f>
        <v/>
      </c>
      <c r="GA5" s="72">
        <f>TEXT(DATE(GA4,1,1)+(GA6-1)*7,"MMM")</f>
        <v/>
      </c>
      <c r="GB5" s="72">
        <f>TEXT(DATE(GB4,1,1)+(GB6-1)*7,"MMM")</f>
        <v/>
      </c>
      <c r="GC5" s="72">
        <f>TEXT(DATE(GC4,1,1)+(GC6-1)*7,"MMM")</f>
        <v/>
      </c>
      <c r="GD5" s="72">
        <f>TEXT(DATE(GD4,1,1)+(GD6-1)*7,"MMM")</f>
        <v/>
      </c>
      <c r="GE5" s="72">
        <f>TEXT(DATE(GE4,1,1)+(GE6-1)*7,"MMM")</f>
        <v/>
      </c>
      <c r="GF5" s="72">
        <f>TEXT(DATE(GF4,1,1)+(GF6-1)*7,"MMM")</f>
        <v/>
      </c>
      <c r="GG5" s="72">
        <f>TEXT(DATE(GG4,1,1)+(GG6-1)*7,"MMM")</f>
        <v/>
      </c>
      <c r="GH5" s="72">
        <f>TEXT(DATE(GH4,1,1)+(GH6-1)*7,"MMM")</f>
        <v/>
      </c>
      <c r="GI5" s="72">
        <f>TEXT(DATE(GI4,1,1)+(GI6-1)*7,"MMM")</f>
        <v/>
      </c>
      <c r="GJ5" s="72">
        <f>TEXT(DATE(GJ4,1,1)+(GJ6-1)*7,"MMM")</f>
        <v/>
      </c>
      <c r="GK5" s="72">
        <f>TEXT(DATE(GK4,1,1)+(GK6-1)*7,"MMM")</f>
        <v/>
      </c>
      <c r="GL5" s="72">
        <f>TEXT(DATE(GL4,1,1)+(GL6-1)*7,"MMM")</f>
        <v/>
      </c>
      <c r="GM5" s="72">
        <f>TEXT(DATE(GM4,1,1)+(GM6-1)*7,"MMM")</f>
        <v/>
      </c>
      <c r="GN5" s="72">
        <f>TEXT(DATE(GN4,1,1)+(GN6-1)*7,"MMM")</f>
        <v/>
      </c>
      <c r="GO5" s="72">
        <f>TEXT(DATE(GO4,1,1)+(GO6-1)*7,"MMM")</f>
        <v/>
      </c>
      <c r="GP5" s="72">
        <f>TEXT(DATE(GP4,1,1)+(GP6-1)*7,"MMM")</f>
        <v/>
      </c>
      <c r="GQ5" s="72">
        <f>TEXT(DATE(GQ4,1,1)+(GQ6-1)*7,"MMM")</f>
        <v/>
      </c>
      <c r="GR5" s="72">
        <f>TEXT(DATE(GR4,1,1)+(GR6-1)*7,"MMM")</f>
        <v/>
      </c>
      <c r="GS5" s="72">
        <f>TEXT(DATE(GS4,1,1)+(GS6-1)*7,"MMM")</f>
        <v/>
      </c>
      <c r="GT5" s="72">
        <f>TEXT(DATE(GT4,1,1)+(GT6-1)*7,"MMM")</f>
        <v/>
      </c>
      <c r="GU5" s="72">
        <f>TEXT(DATE(GU4,1,1)+(GU6-1)*7,"MMM")</f>
        <v/>
      </c>
      <c r="GV5" s="72">
        <f>TEXT(DATE(GV4,1,1)+(GV6-1)*7,"MMM")</f>
        <v/>
      </c>
      <c r="GW5" s="72">
        <f>TEXT(DATE(GW4,1,1)+(GW6-1)*7,"MMM")</f>
        <v/>
      </c>
      <c r="GX5" s="72">
        <f>TEXT(DATE(GX4,1,1)+(GX6-1)*7,"MMM")</f>
        <v/>
      </c>
      <c r="GY5" s="72">
        <f>TEXT(DATE(GY4,1,1)+(GY6-1)*7,"MMM")</f>
        <v/>
      </c>
      <c r="GZ5" s="72">
        <f>TEXT(DATE(GZ4,1,1)+(GZ6-1)*7,"MMM")</f>
        <v/>
      </c>
      <c r="HA5" s="72">
        <f>TEXT(DATE(HA4,1,1)+(HA6-1)*7,"MMM")</f>
        <v/>
      </c>
      <c r="HB5" s="72">
        <f>TEXT(DATE(HB4,1,1)+(HB6-1)*7,"MMM")</f>
        <v/>
      </c>
      <c r="HC5" s="72">
        <f>TEXT(DATE(HC4,1,1)+(HC6-1)*7,"MMM")</f>
        <v/>
      </c>
      <c r="HD5" s="72">
        <f>TEXT(DATE(HD4,1,1)+(HD6-1)*7,"MMM")</f>
        <v/>
      </c>
      <c r="HE5" s="72">
        <f>TEXT(DATE(HE4,1,1)+(HE6-1)*7,"MMM")</f>
        <v/>
      </c>
      <c r="HF5" s="72">
        <f>TEXT(DATE(HF4,1,1)+(HF6-1)*7,"MMM")</f>
        <v/>
      </c>
      <c r="HG5" s="72">
        <f>TEXT(DATE(HG4,1,1)+(HG6-1)*7,"MMM")</f>
        <v/>
      </c>
      <c r="HH5" s="72">
        <f>TEXT(DATE(HH4,1,1)+(HH6-1)*7,"MMM")</f>
        <v/>
      </c>
      <c r="HI5" s="72">
        <f>TEXT(DATE(HI4,1,1)+(HI6-1)*7,"MMM")</f>
        <v/>
      </c>
      <c r="HJ5" s="72">
        <f>TEXT(DATE(HJ4,1,1)+(HJ6-1)*7,"MMM")</f>
        <v/>
      </c>
      <c r="HK5" s="72">
        <f>TEXT(DATE(HK4,1,1)+(HK6-1)*7,"MMM")</f>
        <v/>
      </c>
      <c r="HL5" s="72">
        <f>TEXT(DATE(HL4,1,1)+(HL6-1)*7,"MMM")</f>
        <v/>
      </c>
      <c r="HM5" s="72">
        <f>TEXT(DATE(HM4,1,1)+(HM6-1)*7,"MMM")</f>
        <v/>
      </c>
      <c r="HN5" s="72">
        <f>TEXT(DATE(HN4,1,1)+(HN6-1)*7,"MMM")</f>
        <v/>
      </c>
      <c r="HO5" s="72">
        <f>TEXT(DATE(HO4,1,1)+(HO6-1)*7,"MMM")</f>
        <v/>
      </c>
      <c r="HP5" s="72">
        <f>TEXT(DATE(HP4,1,1)+(HP6-1)*7,"MMM")</f>
        <v/>
      </c>
      <c r="HQ5" s="72">
        <f>TEXT(DATE(HQ4,1,1)+(HQ6-1)*7,"MMM")</f>
        <v/>
      </c>
      <c r="HR5" s="72">
        <f>TEXT(DATE(HR4,1,1)+(HR6-1)*7,"MMM")</f>
        <v/>
      </c>
      <c r="HS5" s="72">
        <f>TEXT(DATE(HS4,1,1)+(HS6-1)*7,"MMM")</f>
        <v/>
      </c>
      <c r="HT5" s="72">
        <f>TEXT(DATE(HT4,1,1)+(HT6-1)*7,"MMM")</f>
        <v/>
      </c>
      <c r="HU5" s="72">
        <f>TEXT(DATE(HU4,1,1)+(HU6-1)*7,"MMM")</f>
        <v/>
      </c>
      <c r="HV5" s="72">
        <f>TEXT(DATE(HV4,1,1)+(HV6-1)*7,"MMM")</f>
        <v/>
      </c>
      <c r="HW5" s="72">
        <f>TEXT(DATE(HW4,1,1)+(HW6-1)*7,"MMM")</f>
        <v/>
      </c>
      <c r="HX5" s="72">
        <f>TEXT(DATE(HX4,1,1)+(HX6-1)*7,"MMM")</f>
        <v/>
      </c>
      <c r="HY5" s="72">
        <f>TEXT(DATE(HY4,1,1)+(HY6-1)*7,"MMM")</f>
        <v/>
      </c>
      <c r="HZ5" s="72">
        <f>TEXT(DATE(HZ4,1,1)+(HZ6-1)*7,"MMM")</f>
        <v/>
      </c>
      <c r="IA5" s="72">
        <f>TEXT(DATE(IA4,1,1)+(IA6-1)*7,"MMM")</f>
        <v/>
      </c>
      <c r="IB5" s="72">
        <f>TEXT(DATE(IB4,1,1)+(IB6-1)*7,"MMM")</f>
        <v/>
      </c>
      <c r="IC5" s="72">
        <f>TEXT(DATE(IC4,1,1)+(IC6-1)*7,"MMM")</f>
        <v/>
      </c>
      <c r="ID5" s="72">
        <f>TEXT(DATE(ID4,1,1)+(ID6-1)*7,"MMM")</f>
        <v/>
      </c>
      <c r="IE5" s="72">
        <f>TEXT(DATE(IE4,1,1)+(IE6-1)*7,"MMM")</f>
        <v/>
      </c>
      <c r="IF5" s="72">
        <f>TEXT(DATE(IF4,1,1)+(IF6-1)*7,"MMM")</f>
        <v/>
      </c>
      <c r="IG5" s="72">
        <f>TEXT(DATE(IG4,1,1)+(IG6-1)*7,"MMM")</f>
        <v/>
      </c>
      <c r="IH5" s="72">
        <f>TEXT(DATE(IH4,1,1)+(IH6-1)*7,"MMM")</f>
        <v/>
      </c>
      <c r="II5" s="72">
        <f>TEXT(DATE(II4,1,1)+(II6-1)*7,"MMM")</f>
        <v/>
      </c>
      <c r="IJ5" s="72">
        <f>TEXT(DATE(IJ4,1,1)+(IJ6-1)*7,"MMM")</f>
        <v/>
      </c>
      <c r="IK5" s="72">
        <f>TEXT(DATE(IK4,1,1)+(IK6-1)*7,"MMM")</f>
        <v/>
      </c>
      <c r="IL5" s="72">
        <f>TEXT(DATE(IL4,1,1)+(IL6-1)*7,"MMM")</f>
        <v/>
      </c>
      <c r="IM5" s="72">
        <f>TEXT(DATE(IM4,1,1)+(IM6-1)*7,"MMM")</f>
        <v/>
      </c>
      <c r="IN5" s="72">
        <f>TEXT(DATE(IN4,1,1)+(IN6-1)*7,"MMM")</f>
        <v/>
      </c>
      <c r="IO5" s="72">
        <f>TEXT(DATE(IO4,1,1)+(IO6-1)*7,"MMM")</f>
        <v/>
      </c>
      <c r="IP5" s="72">
        <f>TEXT(DATE(IP4,1,1)+(IP6-1)*7,"MMM")</f>
        <v/>
      </c>
      <c r="IQ5" s="72">
        <f>TEXT(DATE(IQ4,1,1)+(IQ6-1)*7,"MMM")</f>
        <v/>
      </c>
      <c r="IR5" s="72">
        <f>TEXT(DATE(IR4,1,1)+(IR6-1)*7,"MMM")</f>
        <v/>
      </c>
      <c r="IS5" s="72">
        <f>TEXT(DATE(IS4,1,1)+(IS6-1)*7,"MMM")</f>
        <v/>
      </c>
      <c r="IT5" s="72">
        <f>TEXT(DATE(IT4,1,1)+(IT6-1)*7,"MMM")</f>
        <v/>
      </c>
      <c r="IU5" s="72">
        <f>TEXT(DATE(IU4,1,1)+(IU6-1)*7,"MMM")</f>
        <v/>
      </c>
      <c r="IV5" s="72">
        <f>TEXT(DATE(IV4,1,1)+(IV6-1)*7,"MMM")</f>
        <v/>
      </c>
      <c r="IW5" s="72">
        <f>TEXT(DATE(IW4,1,1)+(IW6-1)*7,"MMM")</f>
        <v/>
      </c>
      <c r="IX5" s="72">
        <f>TEXT(DATE(IX4,1,1)+(IX6-1)*7,"MMM")</f>
        <v/>
      </c>
      <c r="IY5" s="72">
        <f>TEXT(DATE(IY4,1,1)+(IY6-1)*7,"MMM")</f>
        <v/>
      </c>
      <c r="IZ5" s="72">
        <f>TEXT(DATE(IZ4,1,1)+(IZ6-1)*7,"MMM")</f>
        <v/>
      </c>
      <c r="JA5" s="72">
        <f>TEXT(DATE(JA4,1,1)+(JA6-1)*7,"MMM")</f>
        <v/>
      </c>
      <c r="JB5" s="72">
        <f>TEXT(DATE(JB4,1,1)+(JB6-1)*7,"MMM")</f>
        <v/>
      </c>
      <c r="JC5" s="72">
        <f>TEXT(DATE(JC4,1,1)+(JC6-1)*7,"MMM")</f>
        <v/>
      </c>
      <c r="JD5" s="72">
        <f>TEXT(DATE(JD4,1,1)+(JD6-1)*7,"MMM")</f>
        <v/>
      </c>
      <c r="JE5" s="72">
        <f>TEXT(DATE(JE4,1,1)+(JE6-1)*7,"MMM")</f>
        <v/>
      </c>
      <c r="JF5" s="72">
        <f>TEXT(DATE(JF4,1,1)+(JF6-1)*7,"MMM")</f>
        <v/>
      </c>
      <c r="JG5" s="72">
        <f>TEXT(DATE(JG4,1,1)+(JG6-1)*7,"MMM")</f>
        <v/>
      </c>
      <c r="JH5" s="72">
        <f>TEXT(DATE(JH4,1,1)+(JH6-1)*7,"MMM")</f>
        <v/>
      </c>
      <c r="JI5" s="72">
        <f>TEXT(DATE(JI4,1,1)+(JI6-1)*7,"MMM")</f>
        <v/>
      </c>
      <c r="JJ5" s="72">
        <f>TEXT(DATE(JJ4,1,1)+(JJ6-1)*7,"MMM")</f>
        <v/>
      </c>
      <c r="JK5" s="72">
        <f>TEXT(DATE(JK4,1,1)+(JK6-1)*7,"MMM")</f>
        <v/>
      </c>
      <c r="JL5" s="72">
        <f>TEXT(DATE(JL4,1,1)+(JL6-1)*7,"MMM")</f>
        <v/>
      </c>
      <c r="JM5" s="72">
        <f>TEXT(DATE(JM4,1,1)+(JM6-1)*7,"MMM")</f>
        <v/>
      </c>
      <c r="JN5" s="72">
        <f>TEXT(DATE(JN4,1,1)+(JN6-1)*7,"MMM")</f>
        <v/>
      </c>
      <c r="JO5" s="72">
        <f>TEXT(DATE(JO4,1,1)+(JO6-1)*7,"MMM")</f>
        <v/>
      </c>
      <c r="JP5" s="72">
        <f>TEXT(DATE(JP4,1,1)+(JP6-1)*7,"MMM")</f>
        <v/>
      </c>
      <c r="JQ5" s="72">
        <f>TEXT(DATE(JQ4,1,1)+(JQ6-1)*7,"MMM")</f>
        <v/>
      </c>
      <c r="JR5" s="72">
        <f>TEXT(DATE(JR4,1,1)+(JR6-1)*7,"MMM")</f>
        <v/>
      </c>
      <c r="JS5" s="72">
        <f>TEXT(DATE(JS4,1,1)+(JS6-1)*7,"MMM")</f>
        <v/>
      </c>
      <c r="JT5" s="72">
        <f>TEXT(DATE(JT4,1,1)+(JT6-1)*7,"MMM")</f>
        <v/>
      </c>
      <c r="JU5" s="72">
        <f>TEXT(DATE(JU4,1,1)+(JU6-1)*7,"MMM")</f>
        <v/>
      </c>
      <c r="JV5" s="72">
        <f>TEXT(DATE(JV4,1,1)+(JV6-1)*7,"MMM")</f>
        <v/>
      </c>
      <c r="JW5" s="72">
        <f>TEXT(DATE(JW4,1,1)+(JW6-1)*7,"MMM")</f>
        <v/>
      </c>
      <c r="JX5" s="72">
        <f>TEXT(DATE(JX4,1,1)+(JX6-1)*7,"MMM")</f>
        <v/>
      </c>
      <c r="JY5" s="72">
        <f>TEXT(DATE(JY4,1,1)+(JY6-1)*7,"MMM")</f>
        <v/>
      </c>
      <c r="JZ5" s="72">
        <f>TEXT(DATE(JZ4,1,1)+(JZ6-1)*7,"MMM")</f>
        <v/>
      </c>
      <c r="KA5" s="72">
        <f>TEXT(DATE(KA4,1,1)+(KA6-1)*7,"MMM")</f>
        <v/>
      </c>
      <c r="KB5" s="72">
        <f>TEXT(DATE(KB4,1,1)+(KB6-1)*7,"MMM")</f>
        <v/>
      </c>
      <c r="KC5" s="72">
        <f>TEXT(DATE(KC4,1,1)+(KC6-1)*7,"MMM")</f>
        <v/>
      </c>
      <c r="KD5" s="72">
        <f>TEXT(DATE(KD4,1,1)+(KD6-1)*7,"MMM")</f>
        <v/>
      </c>
      <c r="KE5" s="72">
        <f>TEXT(DATE(KE4,1,1)+(KE6-1)*7,"MMM")</f>
        <v/>
      </c>
      <c r="KF5" s="72">
        <f>TEXT(DATE(KF4,1,1)+(KF6-1)*7,"MMM")</f>
        <v/>
      </c>
      <c r="KG5" s="72">
        <f>TEXT(DATE(KG4,1,1)+(KG6-1)*7,"MMM")</f>
        <v/>
      </c>
      <c r="KH5" s="72">
        <f>TEXT(DATE(KH4,1,1)+(KH6-1)*7,"MMM")</f>
        <v/>
      </c>
      <c r="KI5" s="72">
        <f>TEXT(DATE(KI4,1,1)+(KI6-1)*7,"MMM")</f>
        <v/>
      </c>
      <c r="KJ5" s="72">
        <f>TEXT(DATE(KJ4,1,1)+(KJ6-1)*7,"MMM")</f>
        <v/>
      </c>
      <c r="KK5" s="72">
        <f>TEXT(DATE(KK4,1,1)+(KK6-1)*7,"MMM")</f>
        <v/>
      </c>
      <c r="KL5" s="72">
        <f>TEXT(DATE(KL4,1,1)+(KL6-1)*7,"MMM")</f>
        <v/>
      </c>
      <c r="KM5" s="72">
        <f>TEXT(DATE(KM4,1,1)+(KM6-1)*7,"MMM")</f>
        <v/>
      </c>
      <c r="KN5" s="72">
        <f>TEXT(DATE(KN4,1,1)+(KN6-1)*7,"MMM")</f>
        <v/>
      </c>
      <c r="KO5" s="72">
        <f>TEXT(DATE(KO4,1,1)+(KO6-1)*7,"MMM")</f>
        <v/>
      </c>
      <c r="KP5" s="72">
        <f>TEXT(DATE(KP4,1,1)+(KP6-1)*7,"MMM")</f>
        <v/>
      </c>
      <c r="KQ5" s="72">
        <f>TEXT(DATE(KQ4,1,1)+(KQ6-1)*7,"MMM")</f>
        <v/>
      </c>
      <c r="KR5" s="72">
        <f>TEXT(DATE(KR4,1,1)+(KR6-1)*7,"MMM")</f>
        <v/>
      </c>
      <c r="KS5" s="72">
        <f>TEXT(DATE(KS4,1,1)+(KS6-1)*7,"MMM")</f>
        <v/>
      </c>
      <c r="KT5" s="72">
        <f>TEXT(DATE(KT4,1,1)+(KT6-1)*7,"MMM")</f>
        <v/>
      </c>
      <c r="KU5" s="72">
        <f>TEXT(DATE(KU4,1,1)+(KU6-1)*7,"MMM")</f>
        <v/>
      </c>
      <c r="KV5" s="72">
        <f>TEXT(DATE(KV4,1,1)+(KV6-1)*7,"MMM")</f>
        <v/>
      </c>
      <c r="KW5" s="72">
        <f>TEXT(DATE(KW4,1,1)+(KW6-1)*7,"MMM")</f>
        <v/>
      </c>
      <c r="KX5" s="72">
        <f>TEXT(DATE(KX4,1,1)+(KX6-1)*7,"MMM")</f>
        <v/>
      </c>
      <c r="KY5" s="72">
        <f>TEXT(DATE(KY4,1,1)+(KY6-1)*7,"MMM")</f>
        <v/>
      </c>
      <c r="KZ5" s="72">
        <f>TEXT(DATE(KZ4,1,1)+(KZ6-1)*7,"MMM")</f>
        <v/>
      </c>
      <c r="LA5" s="72">
        <f>TEXT(DATE(LA4,1,1)+(LA6-1)*7,"MMM")</f>
        <v/>
      </c>
      <c r="LB5" s="72">
        <f>TEXT(DATE(LB4,1,1)+(LB6-1)*7,"MMM")</f>
        <v/>
      </c>
      <c r="LC5" s="72">
        <f>TEXT(DATE(LC4,1,1)+(LC6-1)*7,"MMM")</f>
        <v/>
      </c>
      <c r="LD5" s="72">
        <f>TEXT(DATE(LD4,1,1)+(LD6-1)*7,"MMM")</f>
        <v/>
      </c>
      <c r="LE5" s="72">
        <f>TEXT(DATE(LE4,1,1)+(LE6-1)*7,"MMM")</f>
        <v/>
      </c>
      <c r="LF5" s="72">
        <f>TEXT(DATE(LF4,1,1)+(LF6-1)*7,"MMM")</f>
        <v/>
      </c>
      <c r="LG5" s="72">
        <f>TEXT(DATE(LG4,1,1)+(LG6-1)*7,"MMM")</f>
        <v/>
      </c>
      <c r="LH5" s="72">
        <f>TEXT(DATE(LH4,1,1)+(LH6-1)*7,"MMM")</f>
        <v/>
      </c>
      <c r="LI5" s="72">
        <f>TEXT(DATE(LI4,1,1)+(LI6-1)*7,"MMM")</f>
        <v/>
      </c>
      <c r="LJ5" s="72">
        <f>TEXT(DATE(LJ4,1,1)+(LJ6-1)*7,"MMM")</f>
        <v/>
      </c>
      <c r="LK5" s="72">
        <f>TEXT(DATE(LK4,1,1)+(LK6-1)*7,"MMM")</f>
        <v/>
      </c>
      <c r="LL5" s="72">
        <f>TEXT(DATE(LL4,1,1)+(LL6-1)*7,"MMM")</f>
        <v/>
      </c>
      <c r="LM5" s="72">
        <f>TEXT(DATE(LM4,1,1)+(LM6-1)*7,"MMM")</f>
        <v/>
      </c>
      <c r="LN5" s="72">
        <f>TEXT(DATE(LN4,1,1)+(LN6-1)*7,"MMM")</f>
        <v/>
      </c>
      <c r="LO5" s="72">
        <f>TEXT(DATE(LO4,1,1)+(LO6-1)*7,"MMM")</f>
        <v/>
      </c>
      <c r="LP5" s="72">
        <f>TEXT(DATE(LP4,1,1)+(LP6-1)*7,"MMM")</f>
        <v/>
      </c>
      <c r="LQ5" s="72">
        <f>TEXT(DATE(LQ4,1,1)+(LQ6-1)*7,"MMM")</f>
        <v/>
      </c>
      <c r="LR5" s="72">
        <f>TEXT(DATE(LR4,1,1)+(LR6-1)*7,"MMM")</f>
        <v/>
      </c>
    </row>
    <row r="6" ht="21.75" customHeight="1" s="113">
      <c r="A6" s="128" t="n"/>
      <c r="B6" s="128" t="n"/>
      <c r="C6" s="126" t="n"/>
      <c r="D6" s="126" t="n"/>
      <c r="E6" s="126" t="n"/>
      <c r="F6" s="73">
        <f>'L4 input'!$P$3</f>
        <v/>
      </c>
      <c r="G6" s="73">
        <f>IF(F6=IF(WEEKNUM(DATE(F4,12,28),21)=53,53,52),1,F6+1)</f>
        <v/>
      </c>
      <c r="H6" s="73">
        <f>IF(G6=IF(WEEKNUM(DATE(G4,12,28),21)=53,53,52),1,G6+1)</f>
        <v/>
      </c>
      <c r="I6" s="73">
        <f>IF(H6=IF(WEEKNUM(DATE(H4,12,28),21)=53,53,52),1,H6+1)</f>
        <v/>
      </c>
      <c r="J6" s="73">
        <f>IF(I6=IF(WEEKNUM(DATE(I4,12,28),21)=53,53,52),1,I6+1)</f>
        <v/>
      </c>
      <c r="K6" s="73">
        <f>IF(J6=IF(WEEKNUM(DATE(J4,12,28),21)=53,53,52),1,J6+1)</f>
        <v/>
      </c>
      <c r="L6" s="73">
        <f>IF(K6=IF(WEEKNUM(DATE(K4,12,28),21)=53,53,52),1,K6+1)</f>
        <v/>
      </c>
      <c r="M6" s="73">
        <f>IF(L6=IF(WEEKNUM(DATE(L4,12,28),21)=53,53,52),1,L6+1)</f>
        <v/>
      </c>
      <c r="N6" s="73">
        <f>IF(M6=IF(WEEKNUM(DATE(M4,12,28),21)=53,53,52),1,M6+1)</f>
        <v/>
      </c>
      <c r="O6" s="73">
        <f>IF(N6=IF(WEEKNUM(DATE(N4,12,28),21)=53,53,52),1,N6+1)</f>
        <v/>
      </c>
      <c r="P6" s="73">
        <f>IF(O6=IF(WEEKNUM(DATE(O4,12,28),21)=53,53,52),1,O6+1)</f>
        <v/>
      </c>
      <c r="Q6" s="73">
        <f>IF(P6=IF(WEEKNUM(DATE(P4,12,28),21)=53,53,52),1,P6+1)</f>
        <v/>
      </c>
      <c r="R6" s="73">
        <f>IF(Q6=IF(WEEKNUM(DATE(Q4,12,28),21)=53,53,52),1,Q6+1)</f>
        <v/>
      </c>
      <c r="S6" s="73">
        <f>IF(R6=IF(WEEKNUM(DATE(R4,12,28),21)=53,53,52),1,R6+1)</f>
        <v/>
      </c>
      <c r="T6" s="73">
        <f>IF(S6=IF(WEEKNUM(DATE(S4,12,28),21)=53,53,52),1,S6+1)</f>
        <v/>
      </c>
      <c r="U6" s="73">
        <f>IF(T6=IF(WEEKNUM(DATE(T4,12,28),21)=53,53,52),1,T6+1)</f>
        <v/>
      </c>
      <c r="V6" s="73">
        <f>IF(U6=IF(WEEKNUM(DATE(U4,12,28),21)=53,53,52),1,U6+1)</f>
        <v/>
      </c>
      <c r="W6" s="73">
        <f>IF(V6=IF(WEEKNUM(DATE(V4,12,28),21)=53,53,52),1,V6+1)</f>
        <v/>
      </c>
      <c r="X6" s="73">
        <f>IF(W6=IF(WEEKNUM(DATE(W4,12,28),21)=53,53,52),1,W6+1)</f>
        <v/>
      </c>
      <c r="Y6" s="73">
        <f>IF(X6=IF(WEEKNUM(DATE(X4,12,28),21)=53,53,52),1,X6+1)</f>
        <v/>
      </c>
      <c r="Z6" s="73">
        <f>IF(Y6=IF(WEEKNUM(DATE(Y4,12,28),21)=53,53,52),1,Y6+1)</f>
        <v/>
      </c>
      <c r="AA6" s="73">
        <f>IF(Z6=IF(WEEKNUM(DATE(Z4,12,28),21)=53,53,52),1,Z6+1)</f>
        <v/>
      </c>
      <c r="AB6" s="73">
        <f>IF(AA6=IF(WEEKNUM(DATE(AA4,12,28),21)=53,53,52),1,AA6+1)</f>
        <v/>
      </c>
      <c r="AC6" s="73">
        <f>IF(AB6=IF(WEEKNUM(DATE(AB4,12,28),21)=53,53,52),1,AB6+1)</f>
        <v/>
      </c>
      <c r="AD6" s="73">
        <f>IF(AC6=IF(WEEKNUM(DATE(AC4,12,28),21)=53,53,52),1,AC6+1)</f>
        <v/>
      </c>
      <c r="AE6" s="73">
        <f>IF(AD6=IF(WEEKNUM(DATE(AD4,12,28),21)=53,53,52),1,AD6+1)</f>
        <v/>
      </c>
      <c r="AF6" s="73">
        <f>IF(AE6=IF(WEEKNUM(DATE(AE4,12,28),21)=53,53,52),1,AE6+1)</f>
        <v/>
      </c>
      <c r="AG6" s="73">
        <f>IF(AF6=IF(WEEKNUM(DATE(AF4,12,28),21)=53,53,52),1,AF6+1)</f>
        <v/>
      </c>
      <c r="AH6" s="73">
        <f>IF(AG6=IF(WEEKNUM(DATE(AG4,12,28),21)=53,53,52),1,AG6+1)</f>
        <v/>
      </c>
      <c r="AI6" s="73">
        <f>IF(AH6=IF(WEEKNUM(DATE(AH4,12,28),21)=53,53,52),1,AH6+1)</f>
        <v/>
      </c>
      <c r="AJ6" s="73">
        <f>IF(AI6=IF(WEEKNUM(DATE(AI4,12,28),21)=53,53,52),1,AI6+1)</f>
        <v/>
      </c>
      <c r="AK6" s="73">
        <f>IF(AJ6=IF(WEEKNUM(DATE(AJ4,12,28),21)=53,53,52),1,AJ6+1)</f>
        <v/>
      </c>
      <c r="AL6" s="73">
        <f>IF(AK6=IF(WEEKNUM(DATE(AK4,12,28),21)=53,53,52),1,AK6+1)</f>
        <v/>
      </c>
      <c r="AM6" s="73">
        <f>IF(AL6=IF(WEEKNUM(DATE(AL4,12,28),21)=53,53,52),1,AL6+1)</f>
        <v/>
      </c>
      <c r="AN6" s="73">
        <f>IF(AM6=IF(WEEKNUM(DATE(AM4,12,28),21)=53,53,52),1,AM6+1)</f>
        <v/>
      </c>
      <c r="AO6" s="73">
        <f>IF(AN6=IF(WEEKNUM(DATE(AN4,12,28),21)=53,53,52),1,AN6+1)</f>
        <v/>
      </c>
      <c r="AP6" s="73">
        <f>IF(AO6=IF(WEEKNUM(DATE(AO4,12,28),21)=53,53,52),1,AO6+1)</f>
        <v/>
      </c>
      <c r="AQ6" s="73">
        <f>IF(AP6=IF(WEEKNUM(DATE(AP4,12,28),21)=53,53,52),1,AP6+1)</f>
        <v/>
      </c>
      <c r="AR6" s="73">
        <f>IF(AQ6=IF(WEEKNUM(DATE(AQ4,12,28),21)=53,53,52),1,AQ6+1)</f>
        <v/>
      </c>
      <c r="AS6" s="73">
        <f>IF(AR6=IF(WEEKNUM(DATE(AR4,12,28),21)=53,53,52),1,AR6+1)</f>
        <v/>
      </c>
      <c r="AT6" s="73">
        <f>IF(AS6=IF(WEEKNUM(DATE(AS4,12,28),21)=53,53,52),1,AS6+1)</f>
        <v/>
      </c>
      <c r="AU6" s="73">
        <f>IF(AT6=IF(WEEKNUM(DATE(AT4,12,28),21)=53,53,52),1,AT6+1)</f>
        <v/>
      </c>
      <c r="AV6" s="73">
        <f>IF(AU6=IF(WEEKNUM(DATE(AU4,12,28),21)=53,53,52),1,AU6+1)</f>
        <v/>
      </c>
      <c r="AW6" s="73">
        <f>IF(AV6=IF(WEEKNUM(DATE(AV4,12,28),21)=53,53,52),1,AV6+1)</f>
        <v/>
      </c>
      <c r="AX6" s="73">
        <f>IF(AW6=IF(WEEKNUM(DATE(AW4,12,28),21)=53,53,52),1,AW6+1)</f>
        <v/>
      </c>
      <c r="AY6" s="73">
        <f>IF(AX6=IF(WEEKNUM(DATE(AX4,12,28),21)=53,53,52),1,AX6+1)</f>
        <v/>
      </c>
      <c r="AZ6" s="73">
        <f>IF(AY6=IF(WEEKNUM(DATE(AY4,12,28),21)=53,53,52),1,AY6+1)</f>
        <v/>
      </c>
      <c r="BA6" s="73">
        <f>IF(AZ6=IF(WEEKNUM(DATE(AZ4,12,28),21)=53,53,52),1,AZ6+1)</f>
        <v/>
      </c>
      <c r="BB6" s="73">
        <f>IF(BA6=IF(WEEKNUM(DATE(BA4,12,28),21)=53,53,52),1,BA6+1)</f>
        <v/>
      </c>
      <c r="BC6" s="73">
        <f>IF(BB6=IF(WEEKNUM(DATE(BB4,12,28),21)=53,53,52),1,BB6+1)</f>
        <v/>
      </c>
      <c r="BD6" s="73">
        <f>IF(BC6=IF(WEEKNUM(DATE(BC4,12,28),21)=53,53,52),1,BC6+1)</f>
        <v/>
      </c>
      <c r="BE6" s="73">
        <f>IF(BD6=IF(WEEKNUM(DATE(BD4,12,28),21)=53,53,52),1,BD6+1)</f>
        <v/>
      </c>
      <c r="BF6" s="73">
        <f>IF(BE6=IF(WEEKNUM(DATE(BE4,12,28),21)=53,53,52),1,BE6+1)</f>
        <v/>
      </c>
      <c r="BG6" s="73">
        <f>IF(BF6=IF(WEEKNUM(DATE(BF4,12,28),21)=53,53,52),1,BF6+1)</f>
        <v/>
      </c>
      <c r="BH6" s="73">
        <f>IF(BG6=IF(WEEKNUM(DATE(BG4,12,28),21)=53,53,52),1,BG6+1)</f>
        <v/>
      </c>
      <c r="BI6" s="73">
        <f>IF(BH6=IF(WEEKNUM(DATE(BH4,12,28),21)=53,53,52),1,BH6+1)</f>
        <v/>
      </c>
      <c r="BJ6" s="73">
        <f>IF(BI6=IF(WEEKNUM(DATE(BI4,12,28),21)=53,53,52),1,BI6+1)</f>
        <v/>
      </c>
      <c r="BK6" s="73">
        <f>IF(BJ6=IF(WEEKNUM(DATE(BJ4,12,28),21)=53,53,52),1,BJ6+1)</f>
        <v/>
      </c>
      <c r="BL6" s="73">
        <f>IF(BK6=IF(WEEKNUM(DATE(BK4,12,28),21)=53,53,52),1,BK6+1)</f>
        <v/>
      </c>
      <c r="BM6" s="73">
        <f>IF(BL6=IF(WEEKNUM(DATE(BL4,12,28),21)=53,53,52),1,BL6+1)</f>
        <v/>
      </c>
      <c r="BN6" s="73">
        <f>IF(BM6=IF(WEEKNUM(DATE(BM4,12,28),21)=53,53,52),1,BM6+1)</f>
        <v/>
      </c>
      <c r="BO6" s="73">
        <f>IF(BN6=IF(WEEKNUM(DATE(BN4,12,28),21)=53,53,52),1,BN6+1)</f>
        <v/>
      </c>
      <c r="BP6" s="73">
        <f>IF(BO6=IF(WEEKNUM(DATE(BO4,12,28),21)=53,53,52),1,BO6+1)</f>
        <v/>
      </c>
      <c r="BQ6" s="73">
        <f>IF(BP6=IF(WEEKNUM(DATE(BP4,12,28),21)=53,53,52),1,BP6+1)</f>
        <v/>
      </c>
      <c r="BR6" s="73">
        <f>IF(BQ6=IF(WEEKNUM(DATE(BQ4,12,28),21)=53,53,52),1,BQ6+1)</f>
        <v/>
      </c>
      <c r="BS6" s="73">
        <f>IF(BR6=IF(WEEKNUM(DATE(BR4,12,28),21)=53,53,52),1,BR6+1)</f>
        <v/>
      </c>
      <c r="BT6" s="73">
        <f>IF(BS6=IF(WEEKNUM(DATE(BS4,12,28),21)=53,53,52),1,BS6+1)</f>
        <v/>
      </c>
      <c r="BU6" s="73">
        <f>IF(BT6=IF(WEEKNUM(DATE(BT4,12,28),21)=53,53,52),1,BT6+1)</f>
        <v/>
      </c>
      <c r="BV6" s="73">
        <f>IF(BU6=IF(WEEKNUM(DATE(BU4,12,28),21)=53,53,52),1,BU6+1)</f>
        <v/>
      </c>
      <c r="BW6" s="73">
        <f>IF(BV6=IF(WEEKNUM(DATE(BV4,12,28),21)=53,53,52),1,BV6+1)</f>
        <v/>
      </c>
      <c r="BX6" s="73">
        <f>IF(BW6=IF(WEEKNUM(DATE(BW4,12,28),21)=53,53,52),1,BW6+1)</f>
        <v/>
      </c>
      <c r="BY6" s="73">
        <f>IF(BX6=IF(WEEKNUM(DATE(BX4,12,28),21)=53,53,52),1,BX6+1)</f>
        <v/>
      </c>
      <c r="BZ6" s="73">
        <f>IF(BY6=IF(WEEKNUM(DATE(BY4,12,28),21)=53,53,52),1,BY6+1)</f>
        <v/>
      </c>
      <c r="CA6" s="73">
        <f>IF(BZ6=IF(WEEKNUM(DATE(BZ4,12,28),21)=53,53,52),1,BZ6+1)</f>
        <v/>
      </c>
      <c r="CB6" s="73">
        <f>IF(CA6=IF(WEEKNUM(DATE(CA4,12,28),21)=53,53,52),1,CA6+1)</f>
        <v/>
      </c>
      <c r="CC6" s="73">
        <f>IF(CB6=IF(WEEKNUM(DATE(CB4,12,28),21)=53,53,52),1,CB6+1)</f>
        <v/>
      </c>
      <c r="CD6" s="73">
        <f>IF(CC6=IF(WEEKNUM(DATE(CC4,12,28),21)=53,53,52),1,CC6+1)</f>
        <v/>
      </c>
      <c r="CE6" s="73">
        <f>IF(CD6=IF(WEEKNUM(DATE(CD4,12,28),21)=53,53,52),1,CD6+1)</f>
        <v/>
      </c>
      <c r="CF6" s="73">
        <f>IF(CE6=IF(WEEKNUM(DATE(CE4,12,28),21)=53,53,52),1,CE6+1)</f>
        <v/>
      </c>
      <c r="CG6" s="73">
        <f>IF(CF6=IF(WEEKNUM(DATE(CF4,12,28),21)=53,53,52),1,CF6+1)</f>
        <v/>
      </c>
      <c r="CH6" s="73">
        <f>IF(CG6=IF(WEEKNUM(DATE(CG4,12,28),21)=53,53,52),1,CG6+1)</f>
        <v/>
      </c>
      <c r="CI6" s="73">
        <f>IF(CH6=IF(WEEKNUM(DATE(CH4,12,28),21)=53,53,52),1,CH6+1)</f>
        <v/>
      </c>
      <c r="CJ6" s="73">
        <f>IF(CI6=IF(WEEKNUM(DATE(CI4,12,28),21)=53,53,52),1,CI6+1)</f>
        <v/>
      </c>
      <c r="CK6" s="73">
        <f>IF(CJ6=IF(WEEKNUM(DATE(CJ4,12,28),21)=53,53,52),1,CJ6+1)</f>
        <v/>
      </c>
      <c r="CL6" s="73">
        <f>IF(CK6=IF(WEEKNUM(DATE(CK4,12,28),21)=53,53,52),1,CK6+1)</f>
        <v/>
      </c>
      <c r="CM6" s="73">
        <f>IF(CL6=IF(WEEKNUM(DATE(CL4,12,28),21)=53,53,52),1,CL6+1)</f>
        <v/>
      </c>
      <c r="CN6" s="73">
        <f>IF(CM6=IF(WEEKNUM(DATE(CM4,12,28),21)=53,53,52),1,CM6+1)</f>
        <v/>
      </c>
      <c r="CO6" s="73">
        <f>IF(CN6=IF(WEEKNUM(DATE(CN4,12,28),21)=53,53,52),1,CN6+1)</f>
        <v/>
      </c>
      <c r="CP6" s="73">
        <f>IF(CO6=IF(WEEKNUM(DATE(CO4,12,28),21)=53,53,52),1,CO6+1)</f>
        <v/>
      </c>
      <c r="CQ6" s="73">
        <f>IF(CP6=IF(WEEKNUM(DATE(CP4,12,28),21)=53,53,52),1,CP6+1)</f>
        <v/>
      </c>
      <c r="CR6" s="73">
        <f>IF(CQ6=IF(WEEKNUM(DATE(CQ4,12,28),21)=53,53,52),1,CQ6+1)</f>
        <v/>
      </c>
      <c r="CS6" s="73">
        <f>IF(CR6=IF(WEEKNUM(DATE(CR4,12,28),21)=53,53,52),1,CR6+1)</f>
        <v/>
      </c>
      <c r="CT6" s="73">
        <f>IF(CS6=IF(WEEKNUM(DATE(CS4,12,28),21)=53,53,52),1,CS6+1)</f>
        <v/>
      </c>
      <c r="CU6" s="73">
        <f>IF(CT6=IF(WEEKNUM(DATE(CT4,12,28),21)=53,53,52),1,CT6+1)</f>
        <v/>
      </c>
      <c r="CV6" s="73">
        <f>IF(CU6=IF(WEEKNUM(DATE(CU4,12,28),21)=53,53,52),1,CU6+1)</f>
        <v/>
      </c>
      <c r="CW6" s="73">
        <f>IF(CV6=IF(WEEKNUM(DATE(CV4,12,28),21)=53,53,52),1,CV6+1)</f>
        <v/>
      </c>
      <c r="CX6" s="73">
        <f>IF(CW6=IF(WEEKNUM(DATE(CW4,12,28),21)=53,53,52),1,CW6+1)</f>
        <v/>
      </c>
      <c r="CY6" s="73">
        <f>IF(CX6=IF(WEEKNUM(DATE(CX4,12,28),21)=53,53,52),1,CX6+1)</f>
        <v/>
      </c>
      <c r="CZ6" s="73">
        <f>IF(CY6=IF(WEEKNUM(DATE(CY4,12,28),21)=53,53,52),1,CY6+1)</f>
        <v/>
      </c>
      <c r="DA6" s="73">
        <f>IF(CZ6=IF(WEEKNUM(DATE(CZ4,12,28),21)=53,53,52),1,CZ6+1)</f>
        <v/>
      </c>
      <c r="DB6" s="73">
        <f>IF(DA6=IF(WEEKNUM(DATE(DA4,12,28),21)=53,53,52),1,DA6+1)</f>
        <v/>
      </c>
      <c r="DC6" s="73">
        <f>IF(DB6=IF(WEEKNUM(DATE(DB4,12,28),21)=53,53,52),1,DB6+1)</f>
        <v/>
      </c>
      <c r="DD6" s="73">
        <f>IF(DC6=IF(WEEKNUM(DATE(DC4,12,28),21)=53,53,52),1,DC6+1)</f>
        <v/>
      </c>
      <c r="DE6" s="73">
        <f>IF(DD6=IF(WEEKNUM(DATE(DD4,12,28),21)=53,53,52),1,DD6+1)</f>
        <v/>
      </c>
      <c r="DF6" s="73">
        <f>IF(DE6=IF(WEEKNUM(DATE(DE4,12,28),21)=53,53,52),1,DE6+1)</f>
        <v/>
      </c>
      <c r="DG6" s="73">
        <f>IF(DF6=IF(WEEKNUM(DATE(DF4,12,28),21)=53,53,52),1,DF6+1)</f>
        <v/>
      </c>
      <c r="DH6" s="73">
        <f>IF(DG6=IF(WEEKNUM(DATE(DG4,12,28),21)=53,53,52),1,DG6+1)</f>
        <v/>
      </c>
      <c r="DI6" s="73">
        <f>IF(DH6=IF(WEEKNUM(DATE(DH4,12,28),21)=53,53,52),1,DH6+1)</f>
        <v/>
      </c>
      <c r="DJ6" s="73">
        <f>IF(DI6=IF(WEEKNUM(DATE(DI4,12,28),21)=53,53,52),1,DI6+1)</f>
        <v/>
      </c>
      <c r="DK6" s="73">
        <f>IF(DJ6=IF(WEEKNUM(DATE(DJ4,12,28),21)=53,53,52),1,DJ6+1)</f>
        <v/>
      </c>
      <c r="DL6" s="73">
        <f>IF(DK6=IF(WEEKNUM(DATE(DK4,12,28),21)=53,53,52),1,DK6+1)</f>
        <v/>
      </c>
      <c r="DM6" s="73">
        <f>IF(DL6=IF(WEEKNUM(DATE(DL4,12,28),21)=53,53,52),1,DL6+1)</f>
        <v/>
      </c>
      <c r="DN6" s="73">
        <f>IF(DM6=IF(WEEKNUM(DATE(DM4,12,28),21)=53,53,52),1,DM6+1)</f>
        <v/>
      </c>
      <c r="DO6" s="73">
        <f>IF(DN6=IF(WEEKNUM(DATE(DN4,12,28),21)=53,53,52),1,DN6+1)</f>
        <v/>
      </c>
      <c r="DP6" s="73">
        <f>IF(DO6=IF(WEEKNUM(DATE(DO4,12,28),21)=53,53,52),1,DO6+1)</f>
        <v/>
      </c>
      <c r="DQ6" s="73">
        <f>IF(DP6=IF(WEEKNUM(DATE(DP4,12,28),21)=53,53,52),1,DP6+1)</f>
        <v/>
      </c>
      <c r="DR6" s="73">
        <f>IF(DQ6=IF(WEEKNUM(DATE(DQ4,12,28),21)=53,53,52),1,DQ6+1)</f>
        <v/>
      </c>
      <c r="DS6" s="73">
        <f>IF(DR6=IF(WEEKNUM(DATE(DR4,12,28),21)=53,53,52),1,DR6+1)</f>
        <v/>
      </c>
      <c r="DT6" s="73">
        <f>IF(DS6=IF(WEEKNUM(DATE(DS4,12,28),21)=53,53,52),1,DS6+1)</f>
        <v/>
      </c>
      <c r="DU6" s="73">
        <f>IF(DT6=IF(WEEKNUM(DATE(DT4,12,28),21)=53,53,52),1,DT6+1)</f>
        <v/>
      </c>
      <c r="DV6" s="73">
        <f>IF(DU6=IF(WEEKNUM(DATE(DU4,12,28),21)=53,53,52),1,DU6+1)</f>
        <v/>
      </c>
      <c r="DW6" s="73">
        <f>IF(DV6=IF(WEEKNUM(DATE(DV4,12,28),21)=53,53,52),1,DV6+1)</f>
        <v/>
      </c>
      <c r="DX6" s="73">
        <f>IF(DW6=IF(WEEKNUM(DATE(DW4,12,28),21)=53,53,52),1,DW6+1)</f>
        <v/>
      </c>
      <c r="DY6" s="73">
        <f>IF(DX6=IF(WEEKNUM(DATE(DX4,12,28),21)=53,53,52),1,DX6+1)</f>
        <v/>
      </c>
      <c r="DZ6" s="73">
        <f>IF(DY6=IF(WEEKNUM(DATE(DY4,12,28),21)=53,53,52),1,DY6+1)</f>
        <v/>
      </c>
      <c r="EA6" s="73">
        <f>IF(DZ6=IF(WEEKNUM(DATE(DZ4,12,28),21)=53,53,52),1,DZ6+1)</f>
        <v/>
      </c>
      <c r="EB6" s="73">
        <f>IF(EA6=IF(WEEKNUM(DATE(EA4,12,28),21)=53,53,52),1,EA6+1)</f>
        <v/>
      </c>
      <c r="EC6" s="73">
        <f>IF(EB6=IF(WEEKNUM(DATE(EB4,12,28),21)=53,53,52),1,EB6+1)</f>
        <v/>
      </c>
      <c r="ED6" s="73">
        <f>IF(EC6=IF(WEEKNUM(DATE(EC4,12,28),21)=53,53,52),1,EC6+1)</f>
        <v/>
      </c>
      <c r="EE6" s="73">
        <f>IF(ED6=IF(WEEKNUM(DATE(ED4,12,28),21)=53,53,52),1,ED6+1)</f>
        <v/>
      </c>
      <c r="EF6" s="73">
        <f>IF(EE6=IF(WEEKNUM(DATE(EE4,12,28),21)=53,53,52),1,EE6+1)</f>
        <v/>
      </c>
      <c r="EG6" s="73">
        <f>IF(EF6=IF(WEEKNUM(DATE(EF4,12,28),21)=53,53,52),1,EF6+1)</f>
        <v/>
      </c>
      <c r="EH6" s="73">
        <f>IF(EG6=IF(WEEKNUM(DATE(EG4,12,28),21)=53,53,52),1,EG6+1)</f>
        <v/>
      </c>
      <c r="EI6" s="73">
        <f>IF(EH6=IF(WEEKNUM(DATE(EH4,12,28),21)=53,53,52),1,EH6+1)</f>
        <v/>
      </c>
      <c r="EJ6" s="73">
        <f>IF(EI6=IF(WEEKNUM(DATE(EI4,12,28),21)=53,53,52),1,EI6+1)</f>
        <v/>
      </c>
      <c r="EK6" s="73">
        <f>IF(EJ6=IF(WEEKNUM(DATE(EJ4,12,28),21)=53,53,52),1,EJ6+1)</f>
        <v/>
      </c>
      <c r="EL6" s="73">
        <f>IF(EK6=IF(WEEKNUM(DATE(EK4,12,28),21)=53,53,52),1,EK6+1)</f>
        <v/>
      </c>
      <c r="EM6" s="73">
        <f>IF(EL6=IF(WEEKNUM(DATE(EL4,12,28),21)=53,53,52),1,EL6+1)</f>
        <v/>
      </c>
      <c r="EN6" s="73">
        <f>IF(EM6=IF(WEEKNUM(DATE(EM4,12,28),21)=53,53,52),1,EM6+1)</f>
        <v/>
      </c>
      <c r="EO6" s="73">
        <f>IF(EN6=IF(WEEKNUM(DATE(EN4,12,28),21)=53,53,52),1,EN6+1)</f>
        <v/>
      </c>
      <c r="EP6" s="73">
        <f>IF(EO6=IF(WEEKNUM(DATE(EO4,12,28),21)=53,53,52),1,EO6+1)</f>
        <v/>
      </c>
      <c r="EQ6" s="73">
        <f>IF(EP6=IF(WEEKNUM(DATE(EP4,12,28),21)=53,53,52),1,EP6+1)</f>
        <v/>
      </c>
      <c r="ER6" s="73">
        <f>IF(EQ6=IF(WEEKNUM(DATE(EQ4,12,28),21)=53,53,52),1,EQ6+1)</f>
        <v/>
      </c>
      <c r="ES6" s="73">
        <f>IF(ER6=IF(WEEKNUM(DATE(ER4,12,28),21)=53,53,52),1,ER6+1)</f>
        <v/>
      </c>
      <c r="ET6" s="73">
        <f>IF(ES6=IF(WEEKNUM(DATE(ES4,12,28),21)=53,53,52),1,ES6+1)</f>
        <v/>
      </c>
      <c r="EU6" s="73">
        <f>IF(ET6=IF(WEEKNUM(DATE(ET4,12,28),21)=53,53,52),1,ET6+1)</f>
        <v/>
      </c>
      <c r="EV6" s="73">
        <f>IF(EU6=IF(WEEKNUM(DATE(EU4,12,28),21)=53,53,52),1,EU6+1)</f>
        <v/>
      </c>
      <c r="EW6" s="73">
        <f>IF(EV6=IF(WEEKNUM(DATE(EV4,12,28),21)=53,53,52),1,EV6+1)</f>
        <v/>
      </c>
      <c r="EX6" s="73">
        <f>IF(EW6=IF(WEEKNUM(DATE(EW4,12,28),21)=53,53,52),1,EW6+1)</f>
        <v/>
      </c>
      <c r="EY6" s="73">
        <f>IF(EX6=IF(WEEKNUM(DATE(EX4,12,28),21)=53,53,52),1,EX6+1)</f>
        <v/>
      </c>
      <c r="EZ6" s="73">
        <f>IF(EY6=IF(WEEKNUM(DATE(EY4,12,28),21)=53,53,52),1,EY6+1)</f>
        <v/>
      </c>
      <c r="FA6" s="73">
        <f>IF(EZ6=IF(WEEKNUM(DATE(EZ4,12,28),21)=53,53,52),1,EZ6+1)</f>
        <v/>
      </c>
      <c r="FB6" s="73">
        <f>IF(FA6=IF(WEEKNUM(DATE(FA4,12,28),21)=53,53,52),1,FA6+1)</f>
        <v/>
      </c>
      <c r="FC6" s="73">
        <f>IF(FB6=IF(WEEKNUM(DATE(FB4,12,28),21)=53,53,52),1,FB6+1)</f>
        <v/>
      </c>
      <c r="FD6" s="73">
        <f>IF(FC6=IF(WEEKNUM(DATE(FC4,12,28),21)=53,53,52),1,FC6+1)</f>
        <v/>
      </c>
      <c r="FE6" s="73">
        <f>IF(FD6=IF(WEEKNUM(DATE(FD4,12,28),21)=53,53,52),1,FD6+1)</f>
        <v/>
      </c>
      <c r="FF6" s="73">
        <f>IF(FE6=IF(WEEKNUM(DATE(FE4,12,28),21)=53,53,52),1,FE6+1)</f>
        <v/>
      </c>
      <c r="FG6" s="73">
        <f>IF(FF6=IF(WEEKNUM(DATE(FF4,12,28),21)=53,53,52),1,FF6+1)</f>
        <v/>
      </c>
      <c r="FH6" s="73">
        <f>IF(FG6=IF(WEEKNUM(DATE(FG4,12,28),21)=53,53,52),1,FG6+1)</f>
        <v/>
      </c>
      <c r="FI6" s="73">
        <f>IF(FH6=IF(WEEKNUM(DATE(FH4,12,28),21)=53,53,52),1,FH6+1)</f>
        <v/>
      </c>
      <c r="FJ6" s="73">
        <f>IF(FI6=IF(WEEKNUM(DATE(FI4,12,28),21)=53,53,52),1,FI6+1)</f>
        <v/>
      </c>
      <c r="FK6" s="73">
        <f>IF(FJ6=IF(WEEKNUM(DATE(FJ4,12,28),21)=53,53,52),1,FJ6+1)</f>
        <v/>
      </c>
      <c r="FL6" s="73">
        <f>IF(FK6=IF(WEEKNUM(DATE(FK4,12,28),21)=53,53,52),1,FK6+1)</f>
        <v/>
      </c>
      <c r="FM6" s="73">
        <f>IF(FL6=IF(WEEKNUM(DATE(FL4,12,28),21)=53,53,52),1,FL6+1)</f>
        <v/>
      </c>
      <c r="FN6" s="73">
        <f>IF(FM6=IF(WEEKNUM(DATE(FM4,12,28),21)=53,53,52),1,FM6+1)</f>
        <v/>
      </c>
      <c r="FO6" s="73">
        <f>IF(FN6=IF(WEEKNUM(DATE(FN4,12,28),21)=53,53,52),1,FN6+1)</f>
        <v/>
      </c>
      <c r="FP6" s="73">
        <f>IF(FO6=IF(WEEKNUM(DATE(FO4,12,28),21)=53,53,52),1,FO6+1)</f>
        <v/>
      </c>
      <c r="FQ6" s="73">
        <f>IF(FP6=IF(WEEKNUM(DATE(FP4,12,28),21)=53,53,52),1,FP6+1)</f>
        <v/>
      </c>
      <c r="FR6" s="73">
        <f>IF(FQ6=IF(WEEKNUM(DATE(FQ4,12,28),21)=53,53,52),1,FQ6+1)</f>
        <v/>
      </c>
      <c r="FS6" s="73">
        <f>IF(FR6=IF(WEEKNUM(DATE(FR4,12,28),21)=53,53,52),1,FR6+1)</f>
        <v/>
      </c>
      <c r="FT6" s="73">
        <f>IF(FS6=IF(WEEKNUM(DATE(FS4,12,28),21)=53,53,52),1,FS6+1)</f>
        <v/>
      </c>
      <c r="FU6" s="73">
        <f>IF(FT6=IF(WEEKNUM(DATE(FT4,12,28),21)=53,53,52),1,FT6+1)</f>
        <v/>
      </c>
      <c r="FV6" s="73">
        <f>IF(FU6=IF(WEEKNUM(DATE(FU4,12,28),21)=53,53,52),1,FU6+1)</f>
        <v/>
      </c>
      <c r="FW6" s="73">
        <f>IF(FV6=IF(WEEKNUM(DATE(FV4,12,28),21)=53,53,52),1,FV6+1)</f>
        <v/>
      </c>
      <c r="FX6" s="73">
        <f>IF(FW6=IF(WEEKNUM(DATE(FW4,12,28),21)=53,53,52),1,FW6+1)</f>
        <v/>
      </c>
      <c r="FY6" s="73">
        <f>IF(FX6=IF(WEEKNUM(DATE(FX4,12,28),21)=53,53,52),1,FX6+1)</f>
        <v/>
      </c>
      <c r="FZ6" s="73">
        <f>IF(FY6=IF(WEEKNUM(DATE(FY4,12,28),21)=53,53,52),1,FY6+1)</f>
        <v/>
      </c>
      <c r="GA6" s="73">
        <f>IF(FZ6=IF(WEEKNUM(DATE(FZ4,12,28),21)=53,53,52),1,FZ6+1)</f>
        <v/>
      </c>
      <c r="GB6" s="73">
        <f>IF(GA6=IF(WEEKNUM(DATE(GA4,12,28),21)=53,53,52),1,GA6+1)</f>
        <v/>
      </c>
      <c r="GC6" s="73">
        <f>IF(GB6=IF(WEEKNUM(DATE(GB4,12,28),21)=53,53,52),1,GB6+1)</f>
        <v/>
      </c>
      <c r="GD6" s="73">
        <f>IF(GC6=IF(WEEKNUM(DATE(GC4,12,28),21)=53,53,52),1,GC6+1)</f>
        <v/>
      </c>
      <c r="GE6" s="73">
        <f>IF(GD6=IF(WEEKNUM(DATE(GD4,12,28),21)=53,53,52),1,GD6+1)</f>
        <v/>
      </c>
      <c r="GF6" s="73">
        <f>IF(GE6=IF(WEEKNUM(DATE(GE4,12,28),21)=53,53,52),1,GE6+1)</f>
        <v/>
      </c>
      <c r="GG6" s="73">
        <f>IF(GF6=IF(WEEKNUM(DATE(GF4,12,28),21)=53,53,52),1,GF6+1)</f>
        <v/>
      </c>
      <c r="GH6" s="73">
        <f>IF(GG6=IF(WEEKNUM(DATE(GG4,12,28),21)=53,53,52),1,GG6+1)</f>
        <v/>
      </c>
      <c r="GI6" s="73">
        <f>IF(GH6=IF(WEEKNUM(DATE(GH4,12,28),21)=53,53,52),1,GH6+1)</f>
        <v/>
      </c>
      <c r="GJ6" s="73">
        <f>IF(GI6=IF(WEEKNUM(DATE(GI4,12,28),21)=53,53,52),1,GI6+1)</f>
        <v/>
      </c>
      <c r="GK6" s="73">
        <f>IF(GJ6=IF(WEEKNUM(DATE(GJ4,12,28),21)=53,53,52),1,GJ6+1)</f>
        <v/>
      </c>
      <c r="GL6" s="73">
        <f>IF(GK6=IF(WEEKNUM(DATE(GK4,12,28),21)=53,53,52),1,GK6+1)</f>
        <v/>
      </c>
      <c r="GM6" s="73">
        <f>IF(GL6=IF(WEEKNUM(DATE(GL4,12,28),21)=53,53,52),1,GL6+1)</f>
        <v/>
      </c>
      <c r="GN6" s="73">
        <f>IF(GM6=IF(WEEKNUM(DATE(GM4,12,28),21)=53,53,52),1,GM6+1)</f>
        <v/>
      </c>
      <c r="GO6" s="73">
        <f>IF(GN6=IF(WEEKNUM(DATE(GN4,12,28),21)=53,53,52),1,GN6+1)</f>
        <v/>
      </c>
      <c r="GP6" s="73">
        <f>IF(GO6=IF(WEEKNUM(DATE(GO4,12,28),21)=53,53,52),1,GO6+1)</f>
        <v/>
      </c>
      <c r="GQ6" s="73">
        <f>IF(GP6=IF(WEEKNUM(DATE(GP4,12,28),21)=53,53,52),1,GP6+1)</f>
        <v/>
      </c>
      <c r="GR6" s="73">
        <f>IF(GQ6=IF(WEEKNUM(DATE(GQ4,12,28),21)=53,53,52),1,GQ6+1)</f>
        <v/>
      </c>
      <c r="GS6" s="73">
        <f>IF(GR6=IF(WEEKNUM(DATE(GR4,12,28),21)=53,53,52),1,GR6+1)</f>
        <v/>
      </c>
      <c r="GT6" s="73">
        <f>IF(GS6=IF(WEEKNUM(DATE(GS4,12,28),21)=53,53,52),1,GS6+1)</f>
        <v/>
      </c>
      <c r="GU6" s="73">
        <f>IF(GT6=IF(WEEKNUM(DATE(GT4,12,28),21)=53,53,52),1,GT6+1)</f>
        <v/>
      </c>
      <c r="GV6" s="73">
        <f>IF(GU6=IF(WEEKNUM(DATE(GU4,12,28),21)=53,53,52),1,GU6+1)</f>
        <v/>
      </c>
      <c r="GW6" s="73">
        <f>IF(GV6=IF(WEEKNUM(DATE(GV4,12,28),21)=53,53,52),1,GV6+1)</f>
        <v/>
      </c>
      <c r="GX6" s="73">
        <f>IF(GW6=IF(WEEKNUM(DATE(GW4,12,28),21)=53,53,52),1,GW6+1)</f>
        <v/>
      </c>
      <c r="GY6" s="73">
        <f>IF(GX6=IF(WEEKNUM(DATE(GX4,12,28),21)=53,53,52),1,GX6+1)</f>
        <v/>
      </c>
      <c r="GZ6" s="73">
        <f>IF(GY6=IF(WEEKNUM(DATE(GY4,12,28),21)=53,53,52),1,GY6+1)</f>
        <v/>
      </c>
      <c r="HA6" s="73">
        <f>IF(GZ6=IF(WEEKNUM(DATE(GZ4,12,28),21)=53,53,52),1,GZ6+1)</f>
        <v/>
      </c>
      <c r="HB6" s="73">
        <f>IF(HA6=IF(WEEKNUM(DATE(HA4,12,28),21)=53,53,52),1,HA6+1)</f>
        <v/>
      </c>
      <c r="HC6" s="73">
        <f>IF(HB6=IF(WEEKNUM(DATE(HB4,12,28),21)=53,53,52),1,HB6+1)</f>
        <v/>
      </c>
      <c r="HD6" s="73">
        <f>IF(HC6=IF(WEEKNUM(DATE(HC4,12,28),21)=53,53,52),1,HC6+1)</f>
        <v/>
      </c>
      <c r="HE6" s="73">
        <f>IF(HD6=IF(WEEKNUM(DATE(HD4,12,28),21)=53,53,52),1,HD6+1)</f>
        <v/>
      </c>
      <c r="HF6" s="73">
        <f>IF(HE6=IF(WEEKNUM(DATE(HE4,12,28),21)=53,53,52),1,HE6+1)</f>
        <v/>
      </c>
      <c r="HG6" s="73">
        <f>IF(HF6=IF(WEEKNUM(DATE(HF4,12,28),21)=53,53,52),1,HF6+1)</f>
        <v/>
      </c>
      <c r="HH6" s="73">
        <f>IF(HG6=IF(WEEKNUM(DATE(HG4,12,28),21)=53,53,52),1,HG6+1)</f>
        <v/>
      </c>
      <c r="HI6" s="73">
        <f>IF(HH6=IF(WEEKNUM(DATE(HH4,12,28),21)=53,53,52),1,HH6+1)</f>
        <v/>
      </c>
      <c r="HJ6" s="73">
        <f>IF(HI6=IF(WEEKNUM(DATE(HI4,12,28),21)=53,53,52),1,HI6+1)</f>
        <v/>
      </c>
      <c r="HK6" s="73">
        <f>IF(HJ6=IF(WEEKNUM(DATE(HJ4,12,28),21)=53,53,52),1,HJ6+1)</f>
        <v/>
      </c>
      <c r="HL6" s="73">
        <f>IF(HK6=IF(WEEKNUM(DATE(HK4,12,28),21)=53,53,52),1,HK6+1)</f>
        <v/>
      </c>
      <c r="HM6" s="73">
        <f>IF(HL6=IF(WEEKNUM(DATE(HL4,12,28),21)=53,53,52),1,HL6+1)</f>
        <v/>
      </c>
      <c r="HN6" s="73">
        <f>IF(HM6=IF(WEEKNUM(DATE(HM4,12,28),21)=53,53,52),1,HM6+1)</f>
        <v/>
      </c>
      <c r="HO6" s="73">
        <f>IF(HN6=IF(WEEKNUM(DATE(HN4,12,28),21)=53,53,52),1,HN6+1)</f>
        <v/>
      </c>
      <c r="HP6" s="73">
        <f>IF(HO6=IF(WEEKNUM(DATE(HO4,12,28),21)=53,53,52),1,HO6+1)</f>
        <v/>
      </c>
      <c r="HQ6" s="73">
        <f>IF(HP6=IF(WEEKNUM(DATE(HP4,12,28),21)=53,53,52),1,HP6+1)</f>
        <v/>
      </c>
      <c r="HR6" s="73">
        <f>IF(HQ6=IF(WEEKNUM(DATE(HQ4,12,28),21)=53,53,52),1,HQ6+1)</f>
        <v/>
      </c>
      <c r="HS6" s="73">
        <f>IF(HR6=IF(WEEKNUM(DATE(HR4,12,28),21)=53,53,52),1,HR6+1)</f>
        <v/>
      </c>
      <c r="HT6" s="73">
        <f>IF(HS6=IF(WEEKNUM(DATE(HS4,12,28),21)=53,53,52),1,HS6+1)</f>
        <v/>
      </c>
      <c r="HU6" s="73">
        <f>IF(HT6=IF(WEEKNUM(DATE(HT4,12,28),21)=53,53,52),1,HT6+1)</f>
        <v/>
      </c>
      <c r="HV6" s="73">
        <f>IF(HU6=IF(WEEKNUM(DATE(HU4,12,28),21)=53,53,52),1,HU6+1)</f>
        <v/>
      </c>
      <c r="HW6" s="73">
        <f>IF(HV6=IF(WEEKNUM(DATE(HV4,12,28),21)=53,53,52),1,HV6+1)</f>
        <v/>
      </c>
      <c r="HX6" s="73">
        <f>IF(HW6=IF(WEEKNUM(DATE(HW4,12,28),21)=53,53,52),1,HW6+1)</f>
        <v/>
      </c>
      <c r="HY6" s="73">
        <f>IF(HX6=IF(WEEKNUM(DATE(HX4,12,28),21)=53,53,52),1,HX6+1)</f>
        <v/>
      </c>
      <c r="HZ6" s="73">
        <f>IF(HY6=IF(WEEKNUM(DATE(HY4,12,28),21)=53,53,52),1,HY6+1)</f>
        <v/>
      </c>
      <c r="IA6" s="73">
        <f>IF(HZ6=IF(WEEKNUM(DATE(HZ4,12,28),21)=53,53,52),1,HZ6+1)</f>
        <v/>
      </c>
      <c r="IB6" s="73">
        <f>IF(IA6=IF(WEEKNUM(DATE(IA4,12,28),21)=53,53,52),1,IA6+1)</f>
        <v/>
      </c>
      <c r="IC6" s="73">
        <f>IF(IB6=IF(WEEKNUM(DATE(IB4,12,28),21)=53,53,52),1,IB6+1)</f>
        <v/>
      </c>
      <c r="ID6" s="73">
        <f>IF(IC6=IF(WEEKNUM(DATE(IC4,12,28),21)=53,53,52),1,IC6+1)</f>
        <v/>
      </c>
      <c r="IE6" s="73">
        <f>IF(ID6=IF(WEEKNUM(DATE(ID4,12,28),21)=53,53,52),1,ID6+1)</f>
        <v/>
      </c>
      <c r="IF6" s="73">
        <f>IF(IE6=IF(WEEKNUM(DATE(IE4,12,28),21)=53,53,52),1,IE6+1)</f>
        <v/>
      </c>
      <c r="IG6" s="73">
        <f>IF(IF6=IF(WEEKNUM(DATE(IF4,12,28),21)=53,53,52),1,IF6+1)</f>
        <v/>
      </c>
      <c r="IH6" s="73">
        <f>IF(IG6=IF(WEEKNUM(DATE(IG4,12,28),21)=53,53,52),1,IG6+1)</f>
        <v/>
      </c>
      <c r="II6" s="73">
        <f>IF(IH6=IF(WEEKNUM(DATE(IH4,12,28),21)=53,53,52),1,IH6+1)</f>
        <v/>
      </c>
      <c r="IJ6" s="73">
        <f>IF(II6=IF(WEEKNUM(DATE(II4,12,28),21)=53,53,52),1,II6+1)</f>
        <v/>
      </c>
      <c r="IK6" s="73">
        <f>IF(IJ6=IF(WEEKNUM(DATE(IJ4,12,28),21)=53,53,52),1,IJ6+1)</f>
        <v/>
      </c>
      <c r="IL6" s="73">
        <f>IF(IK6=IF(WEEKNUM(DATE(IK4,12,28),21)=53,53,52),1,IK6+1)</f>
        <v/>
      </c>
      <c r="IM6" s="73">
        <f>IF(IL6=IF(WEEKNUM(DATE(IL4,12,28),21)=53,53,52),1,IL6+1)</f>
        <v/>
      </c>
      <c r="IN6" s="73">
        <f>IF(IM6=IF(WEEKNUM(DATE(IM4,12,28),21)=53,53,52),1,IM6+1)</f>
        <v/>
      </c>
      <c r="IO6" s="73">
        <f>IF(IN6=IF(WEEKNUM(DATE(IN4,12,28),21)=53,53,52),1,IN6+1)</f>
        <v/>
      </c>
      <c r="IP6" s="73">
        <f>IF(IO6=IF(WEEKNUM(DATE(IO4,12,28),21)=53,53,52),1,IO6+1)</f>
        <v/>
      </c>
      <c r="IQ6" s="73">
        <f>IF(IP6=IF(WEEKNUM(DATE(IP4,12,28),21)=53,53,52),1,IP6+1)</f>
        <v/>
      </c>
      <c r="IR6" s="73">
        <f>IF(IQ6=IF(WEEKNUM(DATE(IQ4,12,28),21)=53,53,52),1,IQ6+1)</f>
        <v/>
      </c>
      <c r="IS6" s="73">
        <f>IF(IR6=IF(WEEKNUM(DATE(IR4,12,28),21)=53,53,52),1,IR6+1)</f>
        <v/>
      </c>
      <c r="IT6" s="73">
        <f>IF(IS6=IF(WEEKNUM(DATE(IS4,12,28),21)=53,53,52),1,IS6+1)</f>
        <v/>
      </c>
      <c r="IU6" s="73">
        <f>IF(IT6=IF(WEEKNUM(DATE(IT4,12,28),21)=53,53,52),1,IT6+1)</f>
        <v/>
      </c>
      <c r="IV6" s="73">
        <f>IF(IU6=IF(WEEKNUM(DATE(IU4,12,28),21)=53,53,52),1,IU6+1)</f>
        <v/>
      </c>
      <c r="IW6" s="73">
        <f>IF(IV6=IF(WEEKNUM(DATE(IV4,12,28),21)=53,53,52),1,IV6+1)</f>
        <v/>
      </c>
      <c r="IX6" s="73">
        <f>IF(IW6=IF(WEEKNUM(DATE(IW4,12,28),21)=53,53,52),1,IW6+1)</f>
        <v/>
      </c>
      <c r="IY6" s="73">
        <f>IF(IX6=IF(WEEKNUM(DATE(IX4,12,28),21)=53,53,52),1,IX6+1)</f>
        <v/>
      </c>
      <c r="IZ6" s="73">
        <f>IF(IY6=IF(WEEKNUM(DATE(IY4,12,28),21)=53,53,52),1,IY6+1)</f>
        <v/>
      </c>
      <c r="JA6" s="73">
        <f>IF(IZ6=IF(WEEKNUM(DATE(IZ4,12,28),21)=53,53,52),1,IZ6+1)</f>
        <v/>
      </c>
      <c r="JB6" s="73">
        <f>IF(JA6=IF(WEEKNUM(DATE(JA4,12,28),21)=53,53,52),1,JA6+1)</f>
        <v/>
      </c>
      <c r="JC6" s="73">
        <f>IF(JB6=IF(WEEKNUM(DATE(JB4,12,28),21)=53,53,52),1,JB6+1)</f>
        <v/>
      </c>
      <c r="JD6" s="73">
        <f>IF(JC6=IF(WEEKNUM(DATE(JC4,12,28),21)=53,53,52),1,JC6+1)</f>
        <v/>
      </c>
      <c r="JE6" s="73">
        <f>IF(JD6=IF(WEEKNUM(DATE(JD4,12,28),21)=53,53,52),1,JD6+1)</f>
        <v/>
      </c>
      <c r="JF6" s="73">
        <f>IF(JE6=IF(WEEKNUM(DATE(JE4,12,28),21)=53,53,52),1,JE6+1)</f>
        <v/>
      </c>
      <c r="JG6" s="73">
        <f>IF(JF6=IF(WEEKNUM(DATE(JF4,12,28),21)=53,53,52),1,JF6+1)</f>
        <v/>
      </c>
      <c r="JH6" s="73">
        <f>IF(JG6=IF(WEEKNUM(DATE(JG4,12,28),21)=53,53,52),1,JG6+1)</f>
        <v/>
      </c>
      <c r="JI6" s="73">
        <f>IF(JH6=IF(WEEKNUM(DATE(JH4,12,28),21)=53,53,52),1,JH6+1)</f>
        <v/>
      </c>
      <c r="JJ6" s="73">
        <f>IF(JI6=IF(WEEKNUM(DATE(JI4,12,28),21)=53,53,52),1,JI6+1)</f>
        <v/>
      </c>
      <c r="JK6" s="73">
        <f>IF(JJ6=IF(WEEKNUM(DATE(JJ4,12,28),21)=53,53,52),1,JJ6+1)</f>
        <v/>
      </c>
      <c r="JL6" s="73">
        <f>IF(JK6=IF(WEEKNUM(DATE(JK4,12,28),21)=53,53,52),1,JK6+1)</f>
        <v/>
      </c>
      <c r="JM6" s="73">
        <f>IF(JL6=IF(WEEKNUM(DATE(JL4,12,28),21)=53,53,52),1,JL6+1)</f>
        <v/>
      </c>
      <c r="JN6" s="73">
        <f>IF(JM6=IF(WEEKNUM(DATE(JM4,12,28),21)=53,53,52),1,JM6+1)</f>
        <v/>
      </c>
      <c r="JO6" s="73">
        <f>IF(JN6=IF(WEEKNUM(DATE(JN4,12,28),21)=53,53,52),1,JN6+1)</f>
        <v/>
      </c>
      <c r="JP6" s="73">
        <f>IF(JO6=IF(WEEKNUM(DATE(JO4,12,28),21)=53,53,52),1,JO6+1)</f>
        <v/>
      </c>
      <c r="JQ6" s="73">
        <f>IF(JP6=IF(WEEKNUM(DATE(JP4,12,28),21)=53,53,52),1,JP6+1)</f>
        <v/>
      </c>
      <c r="JR6" s="73">
        <f>IF(JQ6=IF(WEEKNUM(DATE(JQ4,12,28),21)=53,53,52),1,JQ6+1)</f>
        <v/>
      </c>
      <c r="JS6" s="73">
        <f>IF(JR6=IF(WEEKNUM(DATE(JR4,12,28),21)=53,53,52),1,JR6+1)</f>
        <v/>
      </c>
      <c r="JT6" s="73">
        <f>IF(JS6=IF(WEEKNUM(DATE(JS4,12,28),21)=53,53,52),1,JS6+1)</f>
        <v/>
      </c>
      <c r="JU6" s="73">
        <f>IF(JT6=IF(WEEKNUM(DATE(JT4,12,28),21)=53,53,52),1,JT6+1)</f>
        <v/>
      </c>
      <c r="JV6" s="73">
        <f>IF(JU6=IF(WEEKNUM(DATE(JU4,12,28),21)=53,53,52),1,JU6+1)</f>
        <v/>
      </c>
      <c r="JW6" s="73">
        <f>IF(JV6=IF(WEEKNUM(DATE(JV4,12,28),21)=53,53,52),1,JV6+1)</f>
        <v/>
      </c>
      <c r="JX6" s="73">
        <f>IF(JW6=IF(WEEKNUM(DATE(JW4,12,28),21)=53,53,52),1,JW6+1)</f>
        <v/>
      </c>
      <c r="JY6" s="73">
        <f>IF(JX6=IF(WEEKNUM(DATE(JX4,12,28),21)=53,53,52),1,JX6+1)</f>
        <v/>
      </c>
      <c r="JZ6" s="73">
        <f>IF(JY6=IF(WEEKNUM(DATE(JY4,12,28),21)=53,53,52),1,JY6+1)</f>
        <v/>
      </c>
      <c r="KA6" s="73">
        <f>IF(JZ6=IF(WEEKNUM(DATE(JZ4,12,28),21)=53,53,52),1,JZ6+1)</f>
        <v/>
      </c>
      <c r="KB6" s="73">
        <f>IF(KA6=IF(WEEKNUM(DATE(KA4,12,28),21)=53,53,52),1,KA6+1)</f>
        <v/>
      </c>
      <c r="KC6" s="73">
        <f>IF(KB6=IF(WEEKNUM(DATE(KB4,12,28),21)=53,53,52),1,KB6+1)</f>
        <v/>
      </c>
      <c r="KD6" s="73">
        <f>IF(KC6=IF(WEEKNUM(DATE(KC4,12,28),21)=53,53,52),1,KC6+1)</f>
        <v/>
      </c>
      <c r="KE6" s="73">
        <f>IF(KD6=IF(WEEKNUM(DATE(KD4,12,28),21)=53,53,52),1,KD6+1)</f>
        <v/>
      </c>
      <c r="KF6" s="73">
        <f>IF(KE6=IF(WEEKNUM(DATE(KE4,12,28),21)=53,53,52),1,KE6+1)</f>
        <v/>
      </c>
      <c r="KG6" s="73">
        <f>IF(KF6=IF(WEEKNUM(DATE(KF4,12,28),21)=53,53,52),1,KF6+1)</f>
        <v/>
      </c>
      <c r="KH6" s="73">
        <f>IF(KG6=IF(WEEKNUM(DATE(KG4,12,28),21)=53,53,52),1,KG6+1)</f>
        <v/>
      </c>
      <c r="KI6" s="73">
        <f>IF(KH6=IF(WEEKNUM(DATE(KH4,12,28),21)=53,53,52),1,KH6+1)</f>
        <v/>
      </c>
      <c r="KJ6" s="73">
        <f>IF(KI6=IF(WEEKNUM(DATE(KI4,12,28),21)=53,53,52),1,KI6+1)</f>
        <v/>
      </c>
      <c r="KK6" s="73">
        <f>IF(KJ6=IF(WEEKNUM(DATE(KJ4,12,28),21)=53,53,52),1,KJ6+1)</f>
        <v/>
      </c>
      <c r="KL6" s="73">
        <f>IF(KK6=IF(WEEKNUM(DATE(KK4,12,28),21)=53,53,52),1,KK6+1)</f>
        <v/>
      </c>
      <c r="KM6" s="73">
        <f>IF(KL6=IF(WEEKNUM(DATE(KL4,12,28),21)=53,53,52),1,KL6+1)</f>
        <v/>
      </c>
      <c r="KN6" s="73">
        <f>IF(KM6=IF(WEEKNUM(DATE(KM4,12,28),21)=53,53,52),1,KM6+1)</f>
        <v/>
      </c>
      <c r="KO6" s="73">
        <f>IF(KN6=IF(WEEKNUM(DATE(KN4,12,28),21)=53,53,52),1,KN6+1)</f>
        <v/>
      </c>
      <c r="KP6" s="73">
        <f>IF(KO6=IF(WEEKNUM(DATE(KO4,12,28),21)=53,53,52),1,KO6+1)</f>
        <v/>
      </c>
      <c r="KQ6" s="73">
        <f>IF(KP6=IF(WEEKNUM(DATE(KP4,12,28),21)=53,53,52),1,KP6+1)</f>
        <v/>
      </c>
      <c r="KR6" s="73">
        <f>IF(KQ6=IF(WEEKNUM(DATE(KQ4,12,28),21)=53,53,52),1,KQ6+1)</f>
        <v/>
      </c>
      <c r="KS6" s="73">
        <f>IF(KR6=IF(WEEKNUM(DATE(KR4,12,28),21)=53,53,52),1,KR6+1)</f>
        <v/>
      </c>
      <c r="KT6" s="73">
        <f>IF(KS6=IF(WEEKNUM(DATE(KS4,12,28),21)=53,53,52),1,KS6+1)</f>
        <v/>
      </c>
      <c r="KU6" s="73">
        <f>IF(KT6=IF(WEEKNUM(DATE(KT4,12,28),21)=53,53,52),1,KT6+1)</f>
        <v/>
      </c>
      <c r="KV6" s="73">
        <f>IF(KU6=IF(WEEKNUM(DATE(KU4,12,28),21)=53,53,52),1,KU6+1)</f>
        <v/>
      </c>
      <c r="KW6" s="73">
        <f>IF(KV6=IF(WEEKNUM(DATE(KV4,12,28),21)=53,53,52),1,KV6+1)</f>
        <v/>
      </c>
      <c r="KX6" s="73">
        <f>IF(KW6=IF(WEEKNUM(DATE(KW4,12,28),21)=53,53,52),1,KW6+1)</f>
        <v/>
      </c>
      <c r="KY6" s="73">
        <f>IF(KX6=IF(WEEKNUM(DATE(KX4,12,28),21)=53,53,52),1,KX6+1)</f>
        <v/>
      </c>
      <c r="KZ6" s="73">
        <f>IF(KY6=IF(WEEKNUM(DATE(KY4,12,28),21)=53,53,52),1,KY6+1)</f>
        <v/>
      </c>
      <c r="LA6" s="73">
        <f>IF(KZ6=IF(WEEKNUM(DATE(KZ4,12,28),21)=53,53,52),1,KZ6+1)</f>
        <v/>
      </c>
      <c r="LB6" s="73">
        <f>IF(LA6=IF(WEEKNUM(DATE(LA4,12,28),21)=53,53,52),1,LA6+1)</f>
        <v/>
      </c>
      <c r="LC6" s="73">
        <f>IF(LB6=IF(WEEKNUM(DATE(LB4,12,28),21)=53,53,52),1,LB6+1)</f>
        <v/>
      </c>
      <c r="LD6" s="73">
        <f>IF(LC6=IF(WEEKNUM(DATE(LC4,12,28),21)=53,53,52),1,LC6+1)</f>
        <v/>
      </c>
      <c r="LE6" s="73">
        <f>IF(LD6=IF(WEEKNUM(DATE(LD4,12,28),21)=53,53,52),1,LD6+1)</f>
        <v/>
      </c>
      <c r="LF6" s="73">
        <f>IF(LE6=IF(WEEKNUM(DATE(LE4,12,28),21)=53,53,52),1,LE6+1)</f>
        <v/>
      </c>
      <c r="LG6" s="73">
        <f>IF(LF6=IF(WEEKNUM(DATE(LF4,12,28),21)=53,53,52),1,LF6+1)</f>
        <v/>
      </c>
      <c r="LH6" s="73">
        <f>IF(LG6=IF(WEEKNUM(DATE(LG4,12,28),21)=53,53,52),1,LG6+1)</f>
        <v/>
      </c>
      <c r="LI6" s="73">
        <f>IF(LH6=IF(WEEKNUM(DATE(LH4,12,28),21)=53,53,52),1,LH6+1)</f>
        <v/>
      </c>
      <c r="LJ6" s="73">
        <f>IF(LI6=IF(WEEKNUM(DATE(LI4,12,28),21)=53,53,52),1,LI6+1)</f>
        <v/>
      </c>
      <c r="LK6" s="73">
        <f>IF(LJ6=IF(WEEKNUM(DATE(LJ4,12,28),21)=53,53,52),1,LJ6+1)</f>
        <v/>
      </c>
      <c r="LL6" s="73">
        <f>IF(LK6=IF(WEEKNUM(DATE(LK4,12,28),21)=53,53,52),1,LK6+1)</f>
        <v/>
      </c>
      <c r="LM6" s="73">
        <f>IF(LL6=IF(WEEKNUM(DATE(LL4,12,28),21)=53,53,52),1,LL6+1)</f>
        <v/>
      </c>
      <c r="LN6" s="73">
        <f>IF(LM6=IF(WEEKNUM(DATE(LM4,12,28),21)=53,53,52),1,LM6+1)</f>
        <v/>
      </c>
      <c r="LO6" s="73">
        <f>IF(LN6=IF(WEEKNUM(DATE(LN4,12,28),21)=53,53,52),1,LN6+1)</f>
        <v/>
      </c>
      <c r="LP6" s="73">
        <f>IF(LO6=IF(WEEKNUM(DATE(LO4,12,28),21)=53,53,52),1,LO6+1)</f>
        <v/>
      </c>
      <c r="LQ6" s="73">
        <f>IF(LP6=IF(WEEKNUM(DATE(LP4,12,28),21)=53,53,52),1,LP6+1)</f>
        <v/>
      </c>
      <c r="LR6" s="73">
        <f>IF(LQ6=IF(WEEKNUM(DATE(LQ4,12,28),21)=53,53,52),1,LQ6+1)</f>
        <v/>
      </c>
    </row>
    <row r="7" ht="21.75" customHeight="1" s="113">
      <c r="A7" s="74">
        <f>IF('L4 input'!E7&lt;&gt;"",'L4 input'!D7,"")</f>
        <v/>
      </c>
      <c r="B7" s="75">
        <f>IF('L4 input'!E7&lt;&gt;"",'L4 input'!E7,"")</f>
        <v/>
      </c>
      <c r="C7" s="75">
        <f>IF('L4 input'!F7&lt;&gt;"",'L4 input'!F7,"")</f>
        <v/>
      </c>
      <c r="D7" s="76">
        <f>IF('L4 input'!G7&lt;&gt;"",'L4 input'!G7,"")</f>
        <v/>
      </c>
      <c r="E7" s="76">
        <f>IF('L4 input'!M7&lt;&gt;"",'L4 input'!M7,"")</f>
        <v/>
      </c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74">
        <f>IF('L4 input'!E8&lt;&gt;"",'L4 input'!D8,"")</f>
        <v/>
      </c>
      <c r="B8" s="75">
        <f>IF('L4 input'!E8&lt;&gt;"",'L4 input'!E8,"")</f>
        <v/>
      </c>
      <c r="C8" s="75">
        <f>IF('L4 input'!F8&lt;&gt;"",'L4 input'!F8,"")</f>
        <v/>
      </c>
      <c r="D8" s="76">
        <f>IF('L4 input'!G8&lt;&gt;"",'L4 input'!G8,"")</f>
        <v/>
      </c>
      <c r="E8" s="76">
        <f>IF('L4 input'!M8&lt;&gt;"",'L4 input'!M8,"")</f>
        <v/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74">
        <f>IF('L4 input'!E9&lt;&gt;"",'L4 input'!D9,"")</f>
        <v/>
      </c>
      <c r="B9" s="75">
        <f>IF('L4 input'!E9&lt;&gt;"",'L4 input'!E9,"")</f>
        <v/>
      </c>
      <c r="C9" s="75">
        <f>IF('L4 input'!F9&lt;&gt;"",'L4 input'!F9,"")</f>
        <v/>
      </c>
      <c r="D9" s="76">
        <f>IF('L4 input'!G9&lt;&gt;"",'L4 input'!G9,"")</f>
        <v/>
      </c>
      <c r="E9" s="76">
        <f>IF('L4 input'!M9&lt;&gt;"",'L4 input'!M9,"")</f>
        <v/>
      </c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74">
        <f>IF('L4 input'!E10&lt;&gt;"",'L4 input'!D10,"")</f>
        <v/>
      </c>
      <c r="B10" s="75">
        <f>IF('L4 input'!E10&lt;&gt;"",'L4 input'!E10,"")</f>
        <v/>
      </c>
      <c r="C10" s="75">
        <f>IF('L4 input'!F10&lt;&gt;"",'L4 input'!F10,"")</f>
        <v/>
      </c>
      <c r="D10" s="76">
        <f>IF('L4 input'!G10&lt;&gt;"",'L4 input'!G10,"")</f>
        <v/>
      </c>
      <c r="E10" s="76">
        <f>IF('L4 input'!M10&lt;&gt;"",'L4 input'!M10,"")</f>
        <v/>
      </c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74">
        <f>IF('L4 input'!E11&lt;&gt;"",'L4 input'!D11,"")</f>
        <v/>
      </c>
      <c r="B11" s="75">
        <f>IF('L4 input'!E11&lt;&gt;"",'L4 input'!E11,"")</f>
        <v/>
      </c>
      <c r="C11" s="75">
        <f>IF('L4 input'!F11&lt;&gt;"",'L4 input'!F11,"")</f>
        <v/>
      </c>
      <c r="D11" s="76">
        <f>IF('L4 input'!G11&lt;&gt;"",'L4 input'!G11,"")</f>
        <v/>
      </c>
      <c r="E11" s="76">
        <f>IF('L4 input'!M11&lt;&gt;"",'L4 input'!M11,"")</f>
        <v/>
      </c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74">
        <f>IF('L4 input'!E12&lt;&gt;"",'L4 input'!D12,"")</f>
        <v/>
      </c>
      <c r="B12" s="75">
        <f>IF('L4 input'!E12&lt;&gt;"",'L4 input'!E12,"")</f>
        <v/>
      </c>
      <c r="C12" s="75">
        <f>IF('L4 input'!F12&lt;&gt;"",'L4 input'!F12,"")</f>
        <v/>
      </c>
      <c r="D12" s="76">
        <f>IF('L4 input'!G12&lt;&gt;"",'L4 input'!G12,"")</f>
        <v/>
      </c>
      <c r="E12" s="76">
        <f>IF('L4 input'!M12&lt;&gt;"",'L4 input'!M12,"")</f>
        <v/>
      </c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74">
        <f>IF('L4 input'!E13&lt;&gt;"",'L4 input'!D13,"")</f>
        <v/>
      </c>
      <c r="B13" s="75">
        <f>IF('L4 input'!E13&lt;&gt;"",'L4 input'!E13,"")</f>
        <v/>
      </c>
      <c r="C13" s="75">
        <f>IF('L4 input'!F13&lt;&gt;"",'L4 input'!F13,"")</f>
        <v/>
      </c>
      <c r="D13" s="76">
        <f>IF('L4 input'!G13&lt;&gt;"",'L4 input'!G13,"")</f>
        <v/>
      </c>
      <c r="E13" s="76">
        <f>IF('L4 input'!M13&lt;&gt;"",'L4 input'!M13,"")</f>
        <v/>
      </c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74">
        <f>IF('L4 input'!E14&lt;&gt;"",'L4 input'!D14,"")</f>
        <v/>
      </c>
      <c r="B14" s="75">
        <f>IF('L4 input'!E14&lt;&gt;"",'L4 input'!E14,"")</f>
        <v/>
      </c>
      <c r="C14" s="75">
        <f>IF('L4 input'!F14&lt;&gt;"",'L4 input'!F14,"")</f>
        <v/>
      </c>
      <c r="D14" s="76">
        <f>IF('L4 input'!G14&lt;&gt;"",'L4 input'!G14,"")</f>
        <v/>
      </c>
      <c r="E14" s="76">
        <f>IF('L4 input'!M14&lt;&gt;"",'L4 input'!M14,"")</f>
        <v/>
      </c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74">
        <f>IF('L4 input'!E15&lt;&gt;"",'L4 input'!D15,"")</f>
        <v/>
      </c>
      <c r="B15" s="75">
        <f>IF('L4 input'!E15&lt;&gt;"",'L4 input'!E15,"")</f>
        <v/>
      </c>
      <c r="C15" s="75">
        <f>IF('L4 input'!F15&lt;&gt;"",'L4 input'!F15,"")</f>
        <v/>
      </c>
      <c r="D15" s="76">
        <f>IF('L4 input'!G15&lt;&gt;"",'L4 input'!G15,"")</f>
        <v/>
      </c>
      <c r="E15" s="76">
        <f>IF('L4 input'!M15&lt;&gt;"",'L4 input'!M15,"")</f>
        <v/>
      </c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74">
        <f>IF('L4 input'!E16&lt;&gt;"",'L4 input'!D16,"")</f>
        <v/>
      </c>
      <c r="B16" s="75">
        <f>IF('L4 input'!E16&lt;&gt;"",'L4 input'!E16,"")</f>
        <v/>
      </c>
      <c r="C16" s="75">
        <f>IF('L4 input'!F16&lt;&gt;"",'L4 input'!F16,"")</f>
        <v/>
      </c>
      <c r="D16" s="76">
        <f>IF('L4 input'!G16&lt;&gt;"",'L4 input'!G16,"")</f>
        <v/>
      </c>
      <c r="E16" s="76">
        <f>IF('L4 input'!M16&lt;&gt;"",'L4 input'!M16,"")</f>
        <v/>
      </c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74">
        <f>IF('L4 input'!E17&lt;&gt;"",'L4 input'!D17,"")</f>
        <v/>
      </c>
      <c r="B17" s="75">
        <f>IF('L4 input'!E17&lt;&gt;"",'L4 input'!E17,"")</f>
        <v/>
      </c>
      <c r="C17" s="75">
        <f>IF('L4 input'!F17&lt;&gt;"",'L4 input'!F17,"")</f>
        <v/>
      </c>
      <c r="D17" s="76">
        <f>IF('L4 input'!G17&lt;&gt;"",'L4 input'!G17,"")</f>
        <v/>
      </c>
      <c r="E17" s="76">
        <f>IF('L4 input'!M17&lt;&gt;"",'L4 input'!M17,"")</f>
        <v/>
      </c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74">
        <f>IF('L4 input'!E18&lt;&gt;"",'L4 input'!D18,"")</f>
        <v/>
      </c>
      <c r="B18" s="75">
        <f>IF('L4 input'!E18&lt;&gt;"",'L4 input'!E18,"")</f>
        <v/>
      </c>
      <c r="C18" s="75">
        <f>IF('L4 input'!F18&lt;&gt;"",'L4 input'!F18,"")</f>
        <v/>
      </c>
      <c r="D18" s="76">
        <f>IF('L4 input'!G18&lt;&gt;"",'L4 input'!G18,"")</f>
        <v/>
      </c>
      <c r="E18" s="76">
        <f>IF('L4 input'!M18&lt;&gt;"",'L4 input'!M18,"")</f>
        <v/>
      </c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74">
        <f>IF('L4 input'!E19&lt;&gt;"",'L4 input'!D19,"")</f>
        <v/>
      </c>
      <c r="B19" s="75">
        <f>IF('L4 input'!E19&lt;&gt;"",'L4 input'!E19,"")</f>
        <v/>
      </c>
      <c r="C19" s="75">
        <f>IF('L4 input'!F19&lt;&gt;"",'L4 input'!F19,"")</f>
        <v/>
      </c>
      <c r="D19" s="76">
        <f>IF('L4 input'!G19&lt;&gt;"",'L4 input'!G19,"")</f>
        <v/>
      </c>
      <c r="E19" s="76">
        <f>IF('L4 input'!M19&lt;&gt;"",'L4 input'!M19,"")</f>
        <v/>
      </c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74">
        <f>IF('L4 input'!E20&lt;&gt;"",'L4 input'!D20,"")</f>
        <v/>
      </c>
      <c r="B20" s="75">
        <f>IF('L4 input'!E20&lt;&gt;"",'L4 input'!E20,"")</f>
        <v/>
      </c>
      <c r="C20" s="75">
        <f>IF('L4 input'!F20&lt;&gt;"",'L4 input'!F20,"")</f>
        <v/>
      </c>
      <c r="D20" s="76">
        <f>IF('L4 input'!G20&lt;&gt;"",'L4 input'!G20,"")</f>
        <v/>
      </c>
      <c r="E20" s="76">
        <f>IF('L4 input'!M20&lt;&gt;"",'L4 input'!M20,"")</f>
        <v/>
      </c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74">
        <f>IF('L4 input'!E21&lt;&gt;"",'L4 input'!D21,"")</f>
        <v/>
      </c>
      <c r="B21" s="75">
        <f>IF('L4 input'!E21&lt;&gt;"",'L4 input'!E21,"")</f>
        <v/>
      </c>
      <c r="C21" s="75">
        <f>IF('L4 input'!F21&lt;&gt;"",'L4 input'!F21,"")</f>
        <v/>
      </c>
      <c r="D21" s="76">
        <f>IF('L4 input'!G21&lt;&gt;"",'L4 input'!G21,"")</f>
        <v/>
      </c>
      <c r="E21" s="76">
        <f>IF('L4 input'!M21&lt;&gt;"",'L4 input'!M21,"")</f>
        <v/>
      </c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74">
        <f>IF('L4 input'!E22&lt;&gt;"",'L4 input'!D22,"")</f>
        <v/>
      </c>
      <c r="B22" s="75">
        <f>IF('L4 input'!E22&lt;&gt;"",'L4 input'!E22,"")</f>
        <v/>
      </c>
      <c r="C22" s="75">
        <f>IF('L4 input'!F22&lt;&gt;"",'L4 input'!F22,"")</f>
        <v/>
      </c>
      <c r="D22" s="76">
        <f>IF('L4 input'!G22&lt;&gt;"",'L4 input'!G22,"")</f>
        <v/>
      </c>
      <c r="E22" s="76">
        <f>IF('L4 input'!M22&lt;&gt;"",'L4 input'!M22,"")</f>
        <v/>
      </c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74">
        <f>IF('L4 input'!E23&lt;&gt;"",'L4 input'!D23,"")</f>
        <v/>
      </c>
      <c r="B23" s="75">
        <f>IF('L4 input'!E23&lt;&gt;"",'L4 input'!E23,"")</f>
        <v/>
      </c>
      <c r="C23" s="75">
        <f>IF('L4 input'!F23&lt;&gt;"",'L4 input'!F23,"")</f>
        <v/>
      </c>
      <c r="D23" s="76">
        <f>IF('L4 input'!G23&lt;&gt;"",'L4 input'!G23,"")</f>
        <v/>
      </c>
      <c r="E23" s="76">
        <f>IF('L4 input'!M23&lt;&gt;"",'L4 input'!M23,"")</f>
        <v/>
      </c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74">
        <f>IF('L4 input'!E24&lt;&gt;"",'L4 input'!D24,"")</f>
        <v/>
      </c>
      <c r="B24" s="75">
        <f>IF('L4 input'!E24&lt;&gt;"",'L4 input'!E24,"")</f>
        <v/>
      </c>
      <c r="C24" s="75">
        <f>IF('L4 input'!F24&lt;&gt;"",'L4 input'!F24,"")</f>
        <v/>
      </c>
      <c r="D24" s="76">
        <f>IF('L4 input'!G24&lt;&gt;"",'L4 input'!G24,"")</f>
        <v/>
      </c>
      <c r="E24" s="76">
        <f>IF('L4 input'!M24&lt;&gt;"",'L4 input'!M24,"")</f>
        <v/>
      </c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74">
        <f>IF('L4 input'!E25&lt;&gt;"",'L4 input'!D25,"")</f>
        <v/>
      </c>
      <c r="B25" s="75">
        <f>IF('L4 input'!E25&lt;&gt;"",'L4 input'!E25,"")</f>
        <v/>
      </c>
      <c r="C25" s="75">
        <f>IF('L4 input'!F25&lt;&gt;"",'L4 input'!F25,"")</f>
        <v/>
      </c>
      <c r="D25" s="76">
        <f>IF('L4 input'!G25&lt;&gt;"",'L4 input'!G25,"")</f>
        <v/>
      </c>
      <c r="E25" s="76">
        <f>IF('L4 input'!M25&lt;&gt;"",'L4 input'!M25,"")</f>
        <v/>
      </c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74">
        <f>IF('L4 input'!E26&lt;&gt;"",'L4 input'!D26,"")</f>
        <v/>
      </c>
      <c r="B26" s="75">
        <f>IF('L4 input'!E26&lt;&gt;"",'L4 input'!E26,"")</f>
        <v/>
      </c>
      <c r="C26" s="75">
        <f>IF('L4 input'!F26&lt;&gt;"",'L4 input'!F26,"")</f>
        <v/>
      </c>
      <c r="D26" s="76">
        <f>IF('L4 input'!G26&lt;&gt;"",'L4 input'!G26,"")</f>
        <v/>
      </c>
      <c r="E26" s="76">
        <f>IF('L4 input'!M26&lt;&gt;"",'L4 input'!M26,"")</f>
        <v/>
      </c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74">
        <f>IF('L4 input'!E27&lt;&gt;"",'L4 input'!D27,"")</f>
        <v/>
      </c>
      <c r="B27" s="75">
        <f>IF('L4 input'!E27&lt;&gt;"",'L4 input'!E27,"")</f>
        <v/>
      </c>
      <c r="C27" s="75">
        <f>IF('L4 input'!F27&lt;&gt;"",'L4 input'!F27,"")</f>
        <v/>
      </c>
      <c r="D27" s="76">
        <f>IF('L4 input'!G27&lt;&gt;"",'L4 input'!G27,"")</f>
        <v/>
      </c>
      <c r="E27" s="76">
        <f>IF('L4 input'!M27&lt;&gt;"",'L4 input'!M27,"")</f>
        <v/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74">
        <f>IF('L4 input'!E28&lt;&gt;"",'L4 input'!D28,"")</f>
        <v/>
      </c>
      <c r="B28" s="75">
        <f>IF('L4 input'!E28&lt;&gt;"",'L4 input'!E28,"")</f>
        <v/>
      </c>
      <c r="C28" s="75">
        <f>IF('L4 input'!F28&lt;&gt;"",'L4 input'!F28,"")</f>
        <v/>
      </c>
      <c r="D28" s="76">
        <f>IF('L4 input'!G28&lt;&gt;"",'L4 input'!G28,"")</f>
        <v/>
      </c>
      <c r="E28" s="76">
        <f>IF('L4 input'!M28&lt;&gt;"",'L4 input'!M28,"")</f>
        <v/>
      </c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74">
        <f>IF('L4 input'!E29&lt;&gt;"",'L4 input'!D29,"")</f>
        <v/>
      </c>
      <c r="B29" s="75">
        <f>IF('L4 input'!E29&lt;&gt;"",'L4 input'!E29,"")</f>
        <v/>
      </c>
      <c r="C29" s="75">
        <f>IF('L4 input'!F29&lt;&gt;"",'L4 input'!F29,"")</f>
        <v/>
      </c>
      <c r="D29" s="76">
        <f>IF('L4 input'!G29&lt;&gt;"",'L4 input'!G29,"")</f>
        <v/>
      </c>
      <c r="E29" s="76">
        <f>IF('L4 input'!M29&lt;&gt;"",'L4 input'!M29,"")</f>
        <v/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74">
        <f>IF('L4 input'!E30&lt;&gt;"",'L4 input'!D30,"")</f>
        <v/>
      </c>
      <c r="B30" s="75">
        <f>IF('L4 input'!E30&lt;&gt;"",'L4 input'!E30,"")</f>
        <v/>
      </c>
      <c r="C30" s="75">
        <f>IF('L4 input'!F30&lt;&gt;"",'L4 input'!F30,"")</f>
        <v/>
      </c>
      <c r="D30" s="76">
        <f>IF('L4 input'!G30&lt;&gt;"",'L4 input'!G30,"")</f>
        <v/>
      </c>
      <c r="E30" s="76">
        <f>IF('L4 input'!M30&lt;&gt;"",'L4 input'!M30,"")</f>
        <v/>
      </c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74">
        <f>IF('L4 input'!E31&lt;&gt;"",'L4 input'!D31,"")</f>
        <v/>
      </c>
      <c r="B31" s="75">
        <f>IF('L4 input'!E31&lt;&gt;"",'L4 input'!E31,"")</f>
        <v/>
      </c>
      <c r="C31" s="75">
        <f>IF('L4 input'!F31&lt;&gt;"",'L4 input'!F31,"")</f>
        <v/>
      </c>
      <c r="D31" s="76">
        <f>IF('L4 input'!G31&lt;&gt;"",'L4 input'!G31,"")</f>
        <v/>
      </c>
      <c r="E31" s="76">
        <f>IF('L4 input'!M31&lt;&gt;"",'L4 input'!M31,"")</f>
        <v/>
      </c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74">
        <f>IF('L4 input'!E32&lt;&gt;"",'L4 input'!D32,"")</f>
        <v/>
      </c>
      <c r="B32" s="75">
        <f>IF('L4 input'!E32&lt;&gt;"",'L4 input'!E32,"")</f>
        <v/>
      </c>
      <c r="C32" s="75">
        <f>IF('L4 input'!F32&lt;&gt;"",'L4 input'!F32,"")</f>
        <v/>
      </c>
      <c r="D32" s="76">
        <f>IF('L4 input'!G32&lt;&gt;"",'L4 input'!G32,"")</f>
        <v/>
      </c>
      <c r="E32" s="76">
        <f>IF('L4 input'!M32&lt;&gt;"",'L4 input'!M32,"")</f>
        <v/>
      </c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74">
        <f>IF('L4 input'!E33&lt;&gt;"",'L4 input'!D33,"")</f>
        <v/>
      </c>
      <c r="B33" s="75">
        <f>IF('L4 input'!E33&lt;&gt;"",'L4 input'!E33,"")</f>
        <v/>
      </c>
      <c r="C33" s="75">
        <f>IF('L4 input'!F33&lt;&gt;"",'L4 input'!F33,"")</f>
        <v/>
      </c>
      <c r="D33" s="76">
        <f>IF('L4 input'!G33&lt;&gt;"",'L4 input'!G33,"")</f>
        <v/>
      </c>
      <c r="E33" s="76">
        <f>IF('L4 input'!M33&lt;&gt;"",'L4 input'!M33,"")</f>
        <v/>
      </c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74">
        <f>IF('L4 input'!E34&lt;&gt;"",'L4 input'!D34,"")</f>
        <v/>
      </c>
      <c r="B34" s="75">
        <f>IF('L4 input'!E34&lt;&gt;"",'L4 input'!E34,"")</f>
        <v/>
      </c>
      <c r="C34" s="75">
        <f>IF('L4 input'!F34&lt;&gt;"",'L4 input'!F34,"")</f>
        <v/>
      </c>
      <c r="D34" s="76">
        <f>IF('L4 input'!G34&lt;&gt;"",'L4 input'!G34,"")</f>
        <v/>
      </c>
      <c r="E34" s="76">
        <f>IF('L4 input'!M34&lt;&gt;"",'L4 input'!M34,"")</f>
        <v/>
      </c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74">
        <f>IF('L4 input'!E35&lt;&gt;"",'L4 input'!D35,"")</f>
        <v/>
      </c>
      <c r="B35" s="75">
        <f>IF('L4 input'!E35&lt;&gt;"",'L4 input'!E35,"")</f>
        <v/>
      </c>
      <c r="C35" s="75">
        <f>IF('L4 input'!F35&lt;&gt;"",'L4 input'!F35,"")</f>
        <v/>
      </c>
      <c r="D35" s="76">
        <f>IF('L4 input'!G35&lt;&gt;"",'L4 input'!G35,"")</f>
        <v/>
      </c>
      <c r="E35" s="76">
        <f>IF('L4 input'!M35&lt;&gt;"",'L4 input'!M35,"")</f>
        <v/>
      </c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74">
        <f>IF('L4 input'!E36&lt;&gt;"",'L4 input'!D36,"")</f>
        <v/>
      </c>
      <c r="B36" s="75">
        <f>IF('L4 input'!E36&lt;&gt;"",'L4 input'!E36,"")</f>
        <v/>
      </c>
      <c r="C36" s="75">
        <f>IF('L4 input'!F36&lt;&gt;"",'L4 input'!F36,"")</f>
        <v/>
      </c>
      <c r="D36" s="76">
        <f>IF('L4 input'!G36&lt;&gt;"",'L4 input'!G36,"")</f>
        <v/>
      </c>
      <c r="E36" s="76">
        <f>IF('L4 input'!M36&lt;&gt;"",'L4 input'!M36,"")</f>
        <v/>
      </c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74">
        <f>IF('L4 input'!E37&lt;&gt;"",'L4 input'!D37,"")</f>
        <v/>
      </c>
      <c r="B37" s="75">
        <f>IF('L4 input'!E37&lt;&gt;"",'L4 input'!E37,"")</f>
        <v/>
      </c>
      <c r="C37" s="75">
        <f>IF('L4 input'!F37&lt;&gt;"",'L4 input'!F37,"")</f>
        <v/>
      </c>
      <c r="D37" s="76">
        <f>IF('L4 input'!G37&lt;&gt;"",'L4 input'!G37,"")</f>
        <v/>
      </c>
      <c r="E37" s="76">
        <f>IF('L4 input'!M37&lt;&gt;"",'L4 input'!M37,"")</f>
        <v/>
      </c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74">
        <f>IF('L4 input'!E38&lt;&gt;"",'L4 input'!D38,"")</f>
        <v/>
      </c>
      <c r="B38" s="75">
        <f>IF('L4 input'!E38&lt;&gt;"",'L4 input'!E38,"")</f>
        <v/>
      </c>
      <c r="C38" s="75">
        <f>IF('L4 input'!F38&lt;&gt;"",'L4 input'!F38,"")</f>
        <v/>
      </c>
      <c r="D38" s="76">
        <f>IF('L4 input'!G38&lt;&gt;"",'L4 input'!G38,"")</f>
        <v/>
      </c>
      <c r="E38" s="76">
        <f>IF('L4 input'!M38&lt;&gt;"",'L4 input'!M38,"")</f>
        <v/>
      </c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74">
        <f>IF('L4 input'!E39&lt;&gt;"",'L4 input'!D39,"")</f>
        <v/>
      </c>
      <c r="B39" s="75">
        <f>IF('L4 input'!E39&lt;&gt;"",'L4 input'!E39,"")</f>
        <v/>
      </c>
      <c r="C39" s="75">
        <f>IF('L4 input'!F39&lt;&gt;"",'L4 input'!F39,"")</f>
        <v/>
      </c>
      <c r="D39" s="76">
        <f>IF('L4 input'!G39&lt;&gt;"",'L4 input'!G39,"")</f>
        <v/>
      </c>
      <c r="E39" s="76">
        <f>IF('L4 input'!M39&lt;&gt;"",'L4 input'!M39,"")</f>
        <v/>
      </c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74">
        <f>IF('L4 input'!E40&lt;&gt;"",'L4 input'!D40,"")</f>
        <v/>
      </c>
      <c r="B40" s="75">
        <f>IF('L4 input'!E40&lt;&gt;"",'L4 input'!E40,"")</f>
        <v/>
      </c>
      <c r="C40" s="75">
        <f>IF('L4 input'!F40&lt;&gt;"",'L4 input'!F40,"")</f>
        <v/>
      </c>
      <c r="D40" s="76">
        <f>IF('L4 input'!G40&lt;&gt;"",'L4 input'!G40,"")</f>
        <v/>
      </c>
      <c r="E40" s="76">
        <f>IF('L4 input'!M40&lt;&gt;"",'L4 input'!M40,"")</f>
        <v/>
      </c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74">
        <f>IF('L4 input'!E41&lt;&gt;"",'L4 input'!D41,"")</f>
        <v/>
      </c>
      <c r="B41" s="75">
        <f>IF('L4 input'!E41&lt;&gt;"",'L4 input'!E41,"")</f>
        <v/>
      </c>
      <c r="C41" s="75">
        <f>IF('L4 input'!F41&lt;&gt;"",'L4 input'!F41,"")</f>
        <v/>
      </c>
      <c r="D41" s="76">
        <f>IF('L4 input'!G41&lt;&gt;"",'L4 input'!G41,"")</f>
        <v/>
      </c>
      <c r="E41" s="76">
        <f>IF('L4 input'!M41&lt;&gt;"",'L4 input'!M41,"")</f>
        <v/>
      </c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74">
        <f>IF('L4 input'!E42&lt;&gt;"",'L4 input'!D42,"")</f>
        <v/>
      </c>
      <c r="B42" s="75">
        <f>IF('L4 input'!E42&lt;&gt;"",'L4 input'!E42,"")</f>
        <v/>
      </c>
      <c r="C42" s="75">
        <f>IF('L4 input'!F42&lt;&gt;"",'L4 input'!F42,"")</f>
        <v/>
      </c>
      <c r="D42" s="76">
        <f>IF('L4 input'!G42&lt;&gt;"",'L4 input'!G42,"")</f>
        <v/>
      </c>
      <c r="E42" s="76">
        <f>IF('L4 input'!M42&lt;&gt;"",'L4 input'!M42,"")</f>
        <v/>
      </c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74">
        <f>IF('L4 input'!E43&lt;&gt;"",'L4 input'!D43,"")</f>
        <v/>
      </c>
      <c r="B43" s="75">
        <f>IF('L4 input'!E43&lt;&gt;"",'L4 input'!E43,"")</f>
        <v/>
      </c>
      <c r="C43" s="75">
        <f>IF('L4 input'!F43&lt;&gt;"",'L4 input'!F43,"")</f>
        <v/>
      </c>
      <c r="D43" s="76">
        <f>IF('L4 input'!G43&lt;&gt;"",'L4 input'!G43,"")</f>
        <v/>
      </c>
      <c r="E43" s="76">
        <f>IF('L4 input'!M43&lt;&gt;"",'L4 input'!M43,"")</f>
        <v/>
      </c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74">
        <f>IF('L4 input'!E44&lt;&gt;"",'L4 input'!D44,"")</f>
        <v/>
      </c>
      <c r="B44" s="75">
        <f>IF('L4 input'!E44&lt;&gt;"",'L4 input'!E44,"")</f>
        <v/>
      </c>
      <c r="C44" s="75">
        <f>IF('L4 input'!F44&lt;&gt;"",'L4 input'!F44,"")</f>
        <v/>
      </c>
      <c r="D44" s="76">
        <f>IF('L4 input'!G44&lt;&gt;"",'L4 input'!G44,"")</f>
        <v/>
      </c>
      <c r="E44" s="76">
        <f>IF('L4 input'!M44&lt;&gt;"",'L4 input'!M44,"")</f>
        <v/>
      </c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74">
        <f>IF('L4 input'!E45&lt;&gt;"",'L4 input'!D45,"")</f>
        <v/>
      </c>
      <c r="B45" s="75">
        <f>IF('L4 input'!E45&lt;&gt;"",'L4 input'!E45,"")</f>
        <v/>
      </c>
      <c r="C45" s="75">
        <f>IF('L4 input'!F45&lt;&gt;"",'L4 input'!F45,"")</f>
        <v/>
      </c>
      <c r="D45" s="76">
        <f>IF('L4 input'!G45&lt;&gt;"",'L4 input'!G45,"")</f>
        <v/>
      </c>
      <c r="E45" s="76">
        <f>IF('L4 input'!M45&lt;&gt;"",'L4 input'!M45,"")</f>
        <v/>
      </c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74">
        <f>IF('L4 input'!E46&lt;&gt;"",'L4 input'!D46,"")</f>
        <v/>
      </c>
      <c r="B46" s="75">
        <f>IF('L4 input'!E46&lt;&gt;"",'L4 input'!E46,"")</f>
        <v/>
      </c>
      <c r="C46" s="75">
        <f>IF('L4 input'!F46&lt;&gt;"",'L4 input'!F46,"")</f>
        <v/>
      </c>
      <c r="D46" s="76">
        <f>IF('L4 input'!G46&lt;&gt;"",'L4 input'!G46,"")</f>
        <v/>
      </c>
      <c r="E46" s="76">
        <f>IF('L4 input'!M46&lt;&gt;"",'L4 input'!M46,"")</f>
        <v/>
      </c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74">
        <f>IF('L4 input'!E47&lt;&gt;"",'L4 input'!D47,"")</f>
        <v/>
      </c>
      <c r="B47" s="75">
        <f>IF('L4 input'!E47&lt;&gt;"",'L4 input'!E47,"")</f>
        <v/>
      </c>
      <c r="C47" s="75">
        <f>IF('L4 input'!F47&lt;&gt;"",'L4 input'!F47,"")</f>
        <v/>
      </c>
      <c r="D47" s="76">
        <f>IF('L4 input'!G47&lt;&gt;"",'L4 input'!G47,"")</f>
        <v/>
      </c>
      <c r="E47" s="76">
        <f>IF('L4 input'!M47&lt;&gt;"",'L4 input'!M47,"")</f>
        <v/>
      </c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74">
        <f>IF('L4 input'!E48&lt;&gt;"",'L4 input'!D48,"")</f>
        <v/>
      </c>
      <c r="B48" s="75">
        <f>IF('L4 input'!E48&lt;&gt;"",'L4 input'!E48,"")</f>
        <v/>
      </c>
      <c r="C48" s="75">
        <f>IF('L4 input'!F48&lt;&gt;"",'L4 input'!F48,"")</f>
        <v/>
      </c>
      <c r="D48" s="76">
        <f>IF('L4 input'!G48&lt;&gt;"",'L4 input'!G48,"")</f>
        <v/>
      </c>
      <c r="E48" s="76">
        <f>IF('L4 input'!M48&lt;&gt;"",'L4 input'!M48,"")</f>
        <v/>
      </c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74">
        <f>IF('L4 input'!E49&lt;&gt;"",'L4 input'!D49,"")</f>
        <v/>
      </c>
      <c r="B49" s="75">
        <f>IF('L4 input'!E49&lt;&gt;"",'L4 input'!E49,"")</f>
        <v/>
      </c>
      <c r="C49" s="75">
        <f>IF('L4 input'!F49&lt;&gt;"",'L4 input'!F49,"")</f>
        <v/>
      </c>
      <c r="D49" s="76">
        <f>IF('L4 input'!G49&lt;&gt;"",'L4 input'!G49,"")</f>
        <v/>
      </c>
      <c r="E49" s="76">
        <f>IF('L4 input'!M49&lt;&gt;"",'L4 input'!M49,"")</f>
        <v/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74">
        <f>IF('L4 input'!E50&lt;&gt;"",'L4 input'!D50,"")</f>
        <v/>
      </c>
      <c r="B50" s="75">
        <f>IF('L4 input'!E50&lt;&gt;"",'L4 input'!E50,"")</f>
        <v/>
      </c>
      <c r="C50" s="75">
        <f>IF('L4 input'!F50&lt;&gt;"",'L4 input'!F50,"")</f>
        <v/>
      </c>
      <c r="D50" s="76">
        <f>IF('L4 input'!G50&lt;&gt;"",'L4 input'!G50,"")</f>
        <v/>
      </c>
      <c r="E50" s="76">
        <f>IF('L4 input'!M50&lt;&gt;"",'L4 input'!M50,"")</f>
        <v/>
      </c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74">
        <f>IF('L4 input'!E51&lt;&gt;"",'L4 input'!D51,"")</f>
        <v/>
      </c>
      <c r="B51" s="75">
        <f>IF('L4 input'!E51&lt;&gt;"",'L4 input'!E51,"")</f>
        <v/>
      </c>
      <c r="C51" s="75">
        <f>IF('L4 input'!F51&lt;&gt;"",'L4 input'!F51,"")</f>
        <v/>
      </c>
      <c r="D51" s="76">
        <f>IF('L4 input'!G51&lt;&gt;"",'L4 input'!G51,"")</f>
        <v/>
      </c>
      <c r="E51" s="76">
        <f>IF('L4 input'!M51&lt;&gt;"",'L4 input'!M51,"")</f>
        <v/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74">
        <f>IF('L4 input'!E52&lt;&gt;"",'L4 input'!D52,"")</f>
        <v/>
      </c>
      <c r="B52" s="75">
        <f>IF('L4 input'!E52&lt;&gt;"",'L4 input'!E52,"")</f>
        <v/>
      </c>
      <c r="C52" s="75">
        <f>IF('L4 input'!F52&lt;&gt;"",'L4 input'!F52,"")</f>
        <v/>
      </c>
      <c r="D52" s="76">
        <f>IF('L4 input'!G52&lt;&gt;"",'L4 input'!G52,"")</f>
        <v/>
      </c>
      <c r="E52" s="76">
        <f>IF('L4 input'!M52&lt;&gt;"",'L4 input'!M52,"")</f>
        <v/>
      </c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74">
        <f>IF('L4 input'!E53&lt;&gt;"",'L4 input'!D53,"")</f>
        <v/>
      </c>
      <c r="B53" s="75">
        <f>IF('L4 input'!E53&lt;&gt;"",'L4 input'!E53,"")</f>
        <v/>
      </c>
      <c r="C53" s="75">
        <f>IF('L4 input'!F53&lt;&gt;"",'L4 input'!F53,"")</f>
        <v/>
      </c>
      <c r="D53" s="76">
        <f>IF('L4 input'!G53&lt;&gt;"",'L4 input'!G53,"")</f>
        <v/>
      </c>
      <c r="E53" s="76">
        <f>IF('L4 input'!M53&lt;&gt;"",'L4 input'!M53,"")</f>
        <v/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74">
        <f>IF('L4 input'!E54&lt;&gt;"",'L4 input'!D54,"")</f>
        <v/>
      </c>
      <c r="B54" s="75">
        <f>IF('L4 input'!E54&lt;&gt;"",'L4 input'!E54,"")</f>
        <v/>
      </c>
      <c r="C54" s="75">
        <f>IF('L4 input'!F54&lt;&gt;"",'L4 input'!F54,"")</f>
        <v/>
      </c>
      <c r="D54" s="76">
        <f>IF('L4 input'!G54&lt;&gt;"",'L4 input'!G54,"")</f>
        <v/>
      </c>
      <c r="E54" s="76">
        <f>IF('L4 input'!M54&lt;&gt;"",'L4 input'!M54,"")</f>
        <v/>
      </c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74">
        <f>IF('L4 input'!E55&lt;&gt;"",'L4 input'!D55,"")</f>
        <v/>
      </c>
      <c r="B55" s="75">
        <f>IF('L4 input'!E55&lt;&gt;"",'L4 input'!E55,"")</f>
        <v/>
      </c>
      <c r="C55" s="75">
        <f>IF('L4 input'!F55&lt;&gt;"",'L4 input'!F55,"")</f>
        <v/>
      </c>
      <c r="D55" s="76">
        <f>IF('L4 input'!G55&lt;&gt;"",'L4 input'!G55,"")</f>
        <v/>
      </c>
      <c r="E55" s="76">
        <f>IF('L4 input'!M55&lt;&gt;"",'L4 input'!M55,"")</f>
        <v/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74">
        <f>IF('L4 input'!E56&lt;&gt;"",'L4 input'!D56,"")</f>
        <v/>
      </c>
      <c r="B56" s="75">
        <f>IF('L4 input'!E56&lt;&gt;"",'L4 input'!E56,"")</f>
        <v/>
      </c>
      <c r="C56" s="75">
        <f>IF('L4 input'!F56&lt;&gt;"",'L4 input'!F56,"")</f>
        <v/>
      </c>
      <c r="D56" s="76">
        <f>IF('L4 input'!G56&lt;&gt;"",'L4 input'!G56,"")</f>
        <v/>
      </c>
      <c r="E56" s="76">
        <f>IF('L4 input'!M56&lt;&gt;"",'L4 input'!M56,"")</f>
        <v/>
      </c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74">
        <f>IF('L4 input'!E57&lt;&gt;"",'L4 input'!D57,"")</f>
        <v/>
      </c>
      <c r="B57" s="75">
        <f>IF('L4 input'!E57&lt;&gt;"",'L4 input'!E57,"")</f>
        <v/>
      </c>
      <c r="C57" s="75">
        <f>IF('L4 input'!F57&lt;&gt;"",'L4 input'!F57,"")</f>
        <v/>
      </c>
      <c r="D57" s="76">
        <f>IF('L4 input'!G57&lt;&gt;"",'L4 input'!G57,"")</f>
        <v/>
      </c>
      <c r="E57" s="76">
        <f>IF('L4 input'!M57&lt;&gt;"",'L4 input'!M57,"")</f>
        <v/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74">
        <f>IF('L4 input'!E58&lt;&gt;"",'L4 input'!D58,"")</f>
        <v/>
      </c>
      <c r="B58" s="75">
        <f>IF('L4 input'!E58&lt;&gt;"",'L4 input'!E58,"")</f>
        <v/>
      </c>
      <c r="C58" s="75">
        <f>IF('L4 input'!F58&lt;&gt;"",'L4 input'!F58,"")</f>
        <v/>
      </c>
      <c r="D58" s="76">
        <f>IF('L4 input'!G58&lt;&gt;"",'L4 input'!G58,"")</f>
        <v/>
      </c>
      <c r="E58" s="76">
        <f>IF('L4 input'!M58&lt;&gt;"",'L4 input'!M58,"")</f>
        <v/>
      </c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74">
        <f>IF('L4 input'!E59&lt;&gt;"",'L4 input'!D59,"")</f>
        <v/>
      </c>
      <c r="B59" s="75">
        <f>IF('L4 input'!E59&lt;&gt;"",'L4 input'!E59,"")</f>
        <v/>
      </c>
      <c r="C59" s="75">
        <f>IF('L4 input'!F59&lt;&gt;"",'L4 input'!F59,"")</f>
        <v/>
      </c>
      <c r="D59" s="76">
        <f>IF('L4 input'!G59&lt;&gt;"",'L4 input'!G59,"")</f>
        <v/>
      </c>
      <c r="E59" s="76">
        <f>IF('L4 input'!M59&lt;&gt;"",'L4 input'!M59,"")</f>
        <v/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74">
        <f>IF('L4 input'!E60&lt;&gt;"",'L4 input'!D60,"")</f>
        <v/>
      </c>
      <c r="B60" s="75">
        <f>IF('L4 input'!E60&lt;&gt;"",'L4 input'!E60,"")</f>
        <v/>
      </c>
      <c r="C60" s="75">
        <f>IF('L4 input'!F60&lt;&gt;"",'L4 input'!F60,"")</f>
        <v/>
      </c>
      <c r="D60" s="76">
        <f>IF('L4 input'!G60&lt;&gt;"",'L4 input'!G60,"")</f>
        <v/>
      </c>
      <c r="E60" s="76">
        <f>IF('L4 input'!M60&lt;&gt;"",'L4 input'!M60,"")</f>
        <v/>
      </c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74">
        <f>IF('L4 input'!E61&lt;&gt;"",'L4 input'!D61,"")</f>
        <v/>
      </c>
      <c r="B61" s="75">
        <f>IF('L4 input'!E61&lt;&gt;"",'L4 input'!E61,"")</f>
        <v/>
      </c>
      <c r="C61" s="75">
        <f>IF('L4 input'!F61&lt;&gt;"",'L4 input'!F61,"")</f>
        <v/>
      </c>
      <c r="D61" s="76">
        <f>IF('L4 input'!G61&lt;&gt;"",'L4 input'!G61,"")</f>
        <v/>
      </c>
      <c r="E61" s="76">
        <f>IF('L4 input'!M61&lt;&gt;"",'L4 input'!M61,"")</f>
        <v/>
      </c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74">
        <f>IF('L4 input'!E62&lt;&gt;"",'L4 input'!D62,"")</f>
        <v/>
      </c>
      <c r="B62" s="75">
        <f>IF('L4 input'!E62&lt;&gt;"",'L4 input'!E62,"")</f>
        <v/>
      </c>
      <c r="C62" s="75">
        <f>IF('L4 input'!F62&lt;&gt;"",'L4 input'!F62,"")</f>
        <v/>
      </c>
      <c r="D62" s="76">
        <f>IF('L4 input'!G62&lt;&gt;"",'L4 input'!G62,"")</f>
        <v/>
      </c>
      <c r="E62" s="76">
        <f>IF('L4 input'!M62&lt;&gt;"",'L4 input'!M62,"")</f>
        <v/>
      </c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74">
        <f>IF('L4 input'!E63&lt;&gt;"",'L4 input'!D63,"")</f>
        <v/>
      </c>
      <c r="B63" s="75">
        <f>IF('L4 input'!E63&lt;&gt;"",'L4 input'!E63,"")</f>
        <v/>
      </c>
      <c r="C63" s="75">
        <f>IF('L4 input'!F63&lt;&gt;"",'L4 input'!F63,"")</f>
        <v/>
      </c>
      <c r="D63" s="76">
        <f>IF('L4 input'!G63&lt;&gt;"",'L4 input'!G63,"")</f>
        <v/>
      </c>
      <c r="E63" s="76">
        <f>IF('L4 input'!M63&lt;&gt;"",'L4 input'!M63,"")</f>
        <v/>
      </c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74">
        <f>IF('L4 input'!E64&lt;&gt;"",'L4 input'!D64,"")</f>
        <v/>
      </c>
      <c r="B64" s="75">
        <f>IF('L4 input'!E64&lt;&gt;"",'L4 input'!E64,"")</f>
        <v/>
      </c>
      <c r="C64" s="75">
        <f>IF('L4 input'!F64&lt;&gt;"",'L4 input'!F64,"")</f>
        <v/>
      </c>
      <c r="D64" s="76">
        <f>IF('L4 input'!G64&lt;&gt;"",'L4 input'!G64,"")</f>
        <v/>
      </c>
      <c r="E64" s="76">
        <f>IF('L4 input'!M64&lt;&gt;"",'L4 input'!M64,"")</f>
        <v/>
      </c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74">
        <f>IF('L4 input'!E65&lt;&gt;"",'L4 input'!D65,"")</f>
        <v/>
      </c>
      <c r="B65" s="75">
        <f>IF('L4 input'!E65&lt;&gt;"",'L4 input'!E65,"")</f>
        <v/>
      </c>
      <c r="C65" s="75">
        <f>IF('L4 input'!F65&lt;&gt;"",'L4 input'!F65,"")</f>
        <v/>
      </c>
      <c r="D65" s="76">
        <f>IF('L4 input'!G65&lt;&gt;"",'L4 input'!G65,"")</f>
        <v/>
      </c>
      <c r="E65" s="76">
        <f>IF('L4 input'!M65&lt;&gt;"",'L4 input'!M65,"")</f>
        <v/>
      </c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74">
        <f>IF('L4 input'!E66&lt;&gt;"",'L4 input'!D66,"")</f>
        <v/>
      </c>
      <c r="B66" s="75">
        <f>IF('L4 input'!E66&lt;&gt;"",'L4 input'!E66,"")</f>
        <v/>
      </c>
      <c r="C66" s="75">
        <f>IF('L4 input'!F66&lt;&gt;"",'L4 input'!F66,"")</f>
        <v/>
      </c>
      <c r="D66" s="76">
        <f>IF('L4 input'!G66&lt;&gt;"",'L4 input'!G66,"")</f>
        <v/>
      </c>
      <c r="E66" s="76">
        <f>IF('L4 input'!M66&lt;&gt;"",'L4 input'!M66,"")</f>
        <v/>
      </c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74">
        <f>IF('L4 input'!E67&lt;&gt;"",'L4 input'!D67,"")</f>
        <v/>
      </c>
      <c r="B67" s="75">
        <f>IF('L4 input'!E67&lt;&gt;"",'L4 input'!E67,"")</f>
        <v/>
      </c>
      <c r="C67" s="75">
        <f>IF('L4 input'!F67&lt;&gt;"",'L4 input'!F67,"")</f>
        <v/>
      </c>
      <c r="D67" s="76">
        <f>IF('L4 input'!G67&lt;&gt;"",'L4 input'!G67,"")</f>
        <v/>
      </c>
      <c r="E67" s="76">
        <f>IF('L4 input'!M67&lt;&gt;"",'L4 input'!M67,"")</f>
        <v/>
      </c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74">
        <f>IF('L4 input'!E68&lt;&gt;"",'L4 input'!D68,"")</f>
        <v/>
      </c>
      <c r="B68" s="75">
        <f>IF('L4 input'!E68&lt;&gt;"",'L4 input'!E68,"")</f>
        <v/>
      </c>
      <c r="C68" s="75">
        <f>IF('L4 input'!F68&lt;&gt;"",'L4 input'!F68,"")</f>
        <v/>
      </c>
      <c r="D68" s="76">
        <f>IF('L4 input'!G68&lt;&gt;"",'L4 input'!G68,"")</f>
        <v/>
      </c>
      <c r="E68" s="76">
        <f>IF('L4 input'!M68&lt;&gt;"",'L4 input'!M68,"")</f>
        <v/>
      </c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74">
        <f>IF('L4 input'!E69&lt;&gt;"",'L4 input'!D69,"")</f>
        <v/>
      </c>
      <c r="B69" s="75">
        <f>IF('L4 input'!E69&lt;&gt;"",'L4 input'!E69,"")</f>
        <v/>
      </c>
      <c r="C69" s="75">
        <f>IF('L4 input'!F69&lt;&gt;"",'L4 input'!F69,"")</f>
        <v/>
      </c>
      <c r="D69" s="76">
        <f>IF('L4 input'!G69&lt;&gt;"",'L4 input'!G69,"")</f>
        <v/>
      </c>
      <c r="E69" s="76">
        <f>IF('L4 input'!M69&lt;&gt;"",'L4 input'!M69,"")</f>
        <v/>
      </c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74">
        <f>IF('L4 input'!E70&lt;&gt;"",'L4 input'!D70,"")</f>
        <v/>
      </c>
      <c r="B70" s="75">
        <f>IF('L4 input'!E70&lt;&gt;"",'L4 input'!E70,"")</f>
        <v/>
      </c>
      <c r="C70" s="75">
        <f>IF('L4 input'!F70&lt;&gt;"",'L4 input'!F70,"")</f>
        <v/>
      </c>
      <c r="D70" s="76">
        <f>IF('L4 input'!G70&lt;&gt;"",'L4 input'!G70,"")</f>
        <v/>
      </c>
      <c r="E70" s="76">
        <f>IF('L4 input'!M70&lt;&gt;"",'L4 input'!M70,"")</f>
        <v/>
      </c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74">
        <f>IF('L4 input'!E71&lt;&gt;"",'L4 input'!D71,"")</f>
        <v/>
      </c>
      <c r="B71" s="75">
        <f>IF('L4 input'!E71&lt;&gt;"",'L4 input'!E71,"")</f>
        <v/>
      </c>
      <c r="C71" s="75">
        <f>IF('L4 input'!F71&lt;&gt;"",'L4 input'!F71,"")</f>
        <v/>
      </c>
      <c r="D71" s="76">
        <f>IF('L4 input'!G71&lt;&gt;"",'L4 input'!G71,"")</f>
        <v/>
      </c>
      <c r="E71" s="76">
        <f>IF('L4 input'!M71&lt;&gt;"",'L4 input'!M71,"")</f>
        <v/>
      </c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74">
        <f>IF('L4 input'!E72&lt;&gt;"",'L4 input'!D72,"")</f>
        <v/>
      </c>
      <c r="B72" s="75">
        <f>IF('L4 input'!E72&lt;&gt;"",'L4 input'!E72,"")</f>
        <v/>
      </c>
      <c r="C72" s="75">
        <f>IF('L4 input'!F72&lt;&gt;"",'L4 input'!F72,"")</f>
        <v/>
      </c>
      <c r="D72" s="76">
        <f>IF('L4 input'!G72&lt;&gt;"",'L4 input'!G72,"")</f>
        <v/>
      </c>
      <c r="E72" s="76">
        <f>IF('L4 input'!M72&lt;&gt;"",'L4 input'!M72,"")</f>
        <v/>
      </c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74">
        <f>IF('L4 input'!E73&lt;&gt;"",'L4 input'!D73,"")</f>
        <v/>
      </c>
      <c r="B73" s="75">
        <f>IF('L4 input'!E73&lt;&gt;"",'L4 input'!E73,"")</f>
        <v/>
      </c>
      <c r="C73" s="75">
        <f>IF('L4 input'!F73&lt;&gt;"",'L4 input'!F73,"")</f>
        <v/>
      </c>
      <c r="D73" s="76">
        <f>IF('L4 input'!G73&lt;&gt;"",'L4 input'!G73,"")</f>
        <v/>
      </c>
      <c r="E73" s="76">
        <f>IF('L4 input'!M73&lt;&gt;"",'L4 input'!M73,"")</f>
        <v/>
      </c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74">
        <f>IF('L4 input'!E74&lt;&gt;"",'L4 input'!D74,"")</f>
        <v/>
      </c>
      <c r="B74" s="75">
        <f>IF('L4 input'!E74&lt;&gt;"",'L4 input'!E74,"")</f>
        <v/>
      </c>
      <c r="C74" s="75">
        <f>IF('L4 input'!F74&lt;&gt;"",'L4 input'!F74,"")</f>
        <v/>
      </c>
      <c r="D74" s="76">
        <f>IF('L4 input'!G74&lt;&gt;"",'L4 input'!G74,"")</f>
        <v/>
      </c>
      <c r="E74" s="76">
        <f>IF('L4 input'!M74&lt;&gt;"",'L4 input'!M74,"")</f>
        <v/>
      </c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74">
        <f>IF('L4 input'!E75&lt;&gt;"",'L4 input'!D75,"")</f>
        <v/>
      </c>
      <c r="B75" s="75">
        <f>IF('L4 input'!E75&lt;&gt;"",'L4 input'!E75,"")</f>
        <v/>
      </c>
      <c r="C75" s="75">
        <f>IF('L4 input'!F75&lt;&gt;"",'L4 input'!F75,"")</f>
        <v/>
      </c>
      <c r="D75" s="76">
        <f>IF('L4 input'!G75&lt;&gt;"",'L4 input'!G75,"")</f>
        <v/>
      </c>
      <c r="E75" s="76">
        <f>IF('L4 input'!M75&lt;&gt;"",'L4 input'!M75,"")</f>
        <v/>
      </c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74">
        <f>IF('L4 input'!E76&lt;&gt;"",'L4 input'!D76,"")</f>
        <v/>
      </c>
      <c r="B76" s="75">
        <f>IF('L4 input'!E76&lt;&gt;"",'L4 input'!E76,"")</f>
        <v/>
      </c>
      <c r="C76" s="75">
        <f>IF('L4 input'!F76&lt;&gt;"",'L4 input'!F76,"")</f>
        <v/>
      </c>
      <c r="D76" s="76">
        <f>IF('L4 input'!G76&lt;&gt;"",'L4 input'!G76,"")</f>
        <v/>
      </c>
      <c r="E76" s="76">
        <f>IF('L4 input'!M76&lt;&gt;"",'L4 input'!M76,"")</f>
        <v/>
      </c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74">
        <f>IF('L4 input'!E77&lt;&gt;"",'L4 input'!D77,"")</f>
        <v/>
      </c>
      <c r="B77" s="75">
        <f>IF('L4 input'!E77&lt;&gt;"",'L4 input'!E77,"")</f>
        <v/>
      </c>
      <c r="C77" s="75">
        <f>IF('L4 input'!F77&lt;&gt;"",'L4 input'!F77,"")</f>
        <v/>
      </c>
      <c r="D77" s="76">
        <f>IF('L4 input'!G77&lt;&gt;"",'L4 input'!G77,"")</f>
        <v/>
      </c>
      <c r="E77" s="76">
        <f>IF('L4 input'!M77&lt;&gt;"",'L4 input'!M77,"")</f>
        <v/>
      </c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74">
        <f>IF('L4 input'!E78&lt;&gt;"",'L4 input'!D78,"")</f>
        <v/>
      </c>
      <c r="B78" s="75">
        <f>IF('L4 input'!E78&lt;&gt;"",'L4 input'!E78,"")</f>
        <v/>
      </c>
      <c r="C78" s="75">
        <f>IF('L4 input'!F78&lt;&gt;"",'L4 input'!F78,"")</f>
        <v/>
      </c>
      <c r="D78" s="76">
        <f>IF('L4 input'!G78&lt;&gt;"",'L4 input'!G78,"")</f>
        <v/>
      </c>
      <c r="E78" s="76">
        <f>IF('L4 input'!M78&lt;&gt;"",'L4 input'!M78,"")</f>
        <v/>
      </c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74">
        <f>IF('L4 input'!E79&lt;&gt;"",'L4 input'!D79,"")</f>
        <v/>
      </c>
      <c r="B79" s="75">
        <f>IF('L4 input'!E79&lt;&gt;"",'L4 input'!E79,"")</f>
        <v/>
      </c>
      <c r="C79" s="75">
        <f>IF('L4 input'!F79&lt;&gt;"",'L4 input'!F79,"")</f>
        <v/>
      </c>
      <c r="D79" s="76">
        <f>IF('L4 input'!G79&lt;&gt;"",'L4 input'!G79,"")</f>
        <v/>
      </c>
      <c r="E79" s="76">
        <f>IF('L4 input'!M79&lt;&gt;"",'L4 input'!M79,"")</f>
        <v/>
      </c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74">
        <f>IF('L4 input'!E80&lt;&gt;"",'L4 input'!D80,"")</f>
        <v/>
      </c>
      <c r="B80" s="75">
        <f>IF('L4 input'!E80&lt;&gt;"",'L4 input'!E80,"")</f>
        <v/>
      </c>
      <c r="C80" s="75">
        <f>IF('L4 input'!F80&lt;&gt;"",'L4 input'!F80,"")</f>
        <v/>
      </c>
      <c r="D80" s="76">
        <f>IF('L4 input'!G80&lt;&gt;"",'L4 input'!G80,"")</f>
        <v/>
      </c>
      <c r="E80" s="76">
        <f>IF('L4 input'!M80&lt;&gt;"",'L4 input'!M80,"")</f>
        <v/>
      </c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74">
        <f>IF('L4 input'!E81&lt;&gt;"",'L4 input'!D81,"")</f>
        <v/>
      </c>
      <c r="B81" s="75">
        <f>IF('L4 input'!E81&lt;&gt;"",'L4 input'!E81,"")</f>
        <v/>
      </c>
      <c r="C81" s="75">
        <f>IF('L4 input'!F81&lt;&gt;"",'L4 input'!F81,"")</f>
        <v/>
      </c>
      <c r="D81" s="76">
        <f>IF('L4 input'!G81&lt;&gt;"",'L4 input'!G81,"")</f>
        <v/>
      </c>
      <c r="E81" s="76">
        <f>IF('L4 input'!M81&lt;&gt;"",'L4 input'!M81,"")</f>
        <v/>
      </c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74">
        <f>IF('L4 input'!E82&lt;&gt;"",'L4 input'!D82,"")</f>
        <v/>
      </c>
      <c r="B82" s="75">
        <f>IF('L4 input'!E82&lt;&gt;"",'L4 input'!E82,"")</f>
        <v/>
      </c>
      <c r="C82" s="75">
        <f>IF('L4 input'!F82&lt;&gt;"",'L4 input'!F82,"")</f>
        <v/>
      </c>
      <c r="D82" s="76">
        <f>IF('L4 input'!G82&lt;&gt;"",'L4 input'!G82,"")</f>
        <v/>
      </c>
      <c r="E82" s="76">
        <f>IF('L4 input'!M82&lt;&gt;"",'L4 input'!M82,"")</f>
        <v/>
      </c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74">
        <f>IF('L4 input'!E83&lt;&gt;"",'L4 input'!D83,"")</f>
        <v/>
      </c>
      <c r="B83" s="75">
        <f>IF('L4 input'!E83&lt;&gt;"",'L4 input'!E83,"")</f>
        <v/>
      </c>
      <c r="C83" s="75">
        <f>IF('L4 input'!F83&lt;&gt;"",'L4 input'!F83,"")</f>
        <v/>
      </c>
      <c r="D83" s="76">
        <f>IF('L4 input'!G83&lt;&gt;"",'L4 input'!G83,"")</f>
        <v/>
      </c>
      <c r="E83" s="76">
        <f>IF('L4 input'!M83&lt;&gt;"",'L4 input'!M83,"")</f>
        <v/>
      </c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74">
        <f>IF('L4 input'!E84&lt;&gt;"",'L4 input'!D84,"")</f>
        <v/>
      </c>
      <c r="B84" s="75">
        <f>IF('L4 input'!E84&lt;&gt;"",'L4 input'!E84,"")</f>
        <v/>
      </c>
      <c r="C84" s="75">
        <f>IF('L4 input'!F84&lt;&gt;"",'L4 input'!F84,"")</f>
        <v/>
      </c>
      <c r="D84" s="76">
        <f>IF('L4 input'!G84&lt;&gt;"",'L4 input'!G84,"")</f>
        <v/>
      </c>
      <c r="E84" s="76">
        <f>IF('L4 input'!M84&lt;&gt;"",'L4 input'!M84,"")</f>
        <v/>
      </c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74">
        <f>IF('L4 input'!E85&lt;&gt;"",'L4 input'!D85,"")</f>
        <v/>
      </c>
      <c r="B85" s="75">
        <f>IF('L4 input'!E85&lt;&gt;"",'L4 input'!E85,"")</f>
        <v/>
      </c>
      <c r="C85" s="75">
        <f>IF('L4 input'!F85&lt;&gt;"",'L4 input'!F85,"")</f>
        <v/>
      </c>
      <c r="D85" s="76">
        <f>IF('L4 input'!G85&lt;&gt;"",'L4 input'!G85,"")</f>
        <v/>
      </c>
      <c r="E85" s="76">
        <f>IF('L4 input'!M85&lt;&gt;"",'L4 input'!M85,"")</f>
        <v/>
      </c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74">
        <f>IF('L4 input'!E86&lt;&gt;"",'L4 input'!D86,"")</f>
        <v/>
      </c>
      <c r="B86" s="75">
        <f>IF('L4 input'!E86&lt;&gt;"",'L4 input'!E86,"")</f>
        <v/>
      </c>
      <c r="C86" s="75">
        <f>IF('L4 input'!F86&lt;&gt;"",'L4 input'!F86,"")</f>
        <v/>
      </c>
      <c r="D86" s="76">
        <f>IF('L4 input'!G86&lt;&gt;"",'L4 input'!G86,"")</f>
        <v/>
      </c>
      <c r="E86" s="76">
        <f>IF('L4 input'!M86&lt;&gt;"",'L4 input'!M86,"")</f>
        <v/>
      </c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74">
        <f>IF('L4 input'!E87&lt;&gt;"",'L4 input'!D87,"")</f>
        <v/>
      </c>
      <c r="B87" s="75">
        <f>IF('L4 input'!E87&lt;&gt;"",'L4 input'!E87,"")</f>
        <v/>
      </c>
      <c r="C87" s="75">
        <f>IF('L4 input'!F87&lt;&gt;"",'L4 input'!F87,"")</f>
        <v/>
      </c>
      <c r="D87" s="76">
        <f>IF('L4 input'!G87&lt;&gt;"",'L4 input'!G87,"")</f>
        <v/>
      </c>
      <c r="E87" s="76">
        <f>IF('L4 input'!M87&lt;&gt;"",'L4 input'!M87,"")</f>
        <v/>
      </c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74">
        <f>IF('L4 input'!E88&lt;&gt;"",'L4 input'!D88,"")</f>
        <v/>
      </c>
      <c r="B88" s="75">
        <f>IF('L4 input'!E88&lt;&gt;"",'L4 input'!E88,"")</f>
        <v/>
      </c>
      <c r="C88" s="75">
        <f>IF('L4 input'!F88&lt;&gt;"",'L4 input'!F88,"")</f>
        <v/>
      </c>
      <c r="D88" s="76">
        <f>IF('L4 input'!G88&lt;&gt;"",'L4 input'!G88,"")</f>
        <v/>
      </c>
      <c r="E88" s="76">
        <f>IF('L4 input'!M88&lt;&gt;"",'L4 input'!M88,"")</f>
        <v/>
      </c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74">
        <f>IF('L4 input'!E89&lt;&gt;"",'L4 input'!D89,"")</f>
        <v/>
      </c>
      <c r="B89" s="75">
        <f>IF('L4 input'!E89&lt;&gt;"",'L4 input'!E89,"")</f>
        <v/>
      </c>
      <c r="C89" s="75">
        <f>IF('L4 input'!F89&lt;&gt;"",'L4 input'!F89,"")</f>
        <v/>
      </c>
      <c r="D89" s="76">
        <f>IF('L4 input'!G89&lt;&gt;"",'L4 input'!G89,"")</f>
        <v/>
      </c>
      <c r="E89" s="76">
        <f>IF('L4 input'!M89&lt;&gt;"",'L4 input'!M89,"")</f>
        <v/>
      </c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74">
        <f>IF('L4 input'!E90&lt;&gt;"",'L4 input'!D90,"")</f>
        <v/>
      </c>
      <c r="B90" s="75">
        <f>IF('L4 input'!E90&lt;&gt;"",'L4 input'!E90,"")</f>
        <v/>
      </c>
      <c r="C90" s="75">
        <f>IF('L4 input'!F90&lt;&gt;"",'L4 input'!F90,"")</f>
        <v/>
      </c>
      <c r="D90" s="76">
        <f>IF('L4 input'!G90&lt;&gt;"",'L4 input'!G90,"")</f>
        <v/>
      </c>
      <c r="E90" s="76">
        <f>IF('L4 input'!M90&lt;&gt;"",'L4 input'!M90,"")</f>
        <v/>
      </c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74">
        <f>IF('L4 input'!E91&lt;&gt;"",'L4 input'!D91,"")</f>
        <v/>
      </c>
      <c r="B91" s="75">
        <f>IF('L4 input'!E91&lt;&gt;"",'L4 input'!E91,"")</f>
        <v/>
      </c>
      <c r="C91" s="75">
        <f>IF('L4 input'!F91&lt;&gt;"",'L4 input'!F91,"")</f>
        <v/>
      </c>
      <c r="D91" s="76">
        <f>IF('L4 input'!G91&lt;&gt;"",'L4 input'!G91,"")</f>
        <v/>
      </c>
      <c r="E91" s="76">
        <f>IF('L4 input'!M91&lt;&gt;"",'L4 input'!M91,"")</f>
        <v/>
      </c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74">
        <f>IF('L4 input'!E92&lt;&gt;"",'L4 input'!D92,"")</f>
        <v/>
      </c>
      <c r="B92" s="75">
        <f>IF('L4 input'!E92&lt;&gt;"",'L4 input'!E92,"")</f>
        <v/>
      </c>
      <c r="C92" s="75">
        <f>IF('L4 input'!F92&lt;&gt;"",'L4 input'!F92,"")</f>
        <v/>
      </c>
      <c r="D92" s="76">
        <f>IF('L4 input'!G92&lt;&gt;"",'L4 input'!G92,"")</f>
        <v/>
      </c>
      <c r="E92" s="76">
        <f>IF('L4 input'!M92&lt;&gt;"",'L4 input'!M92,"")</f>
        <v/>
      </c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74">
        <f>IF('L4 input'!E93&lt;&gt;"",'L4 input'!D93,"")</f>
        <v/>
      </c>
      <c r="B93" s="75">
        <f>IF('L4 input'!E93&lt;&gt;"",'L4 input'!E93,"")</f>
        <v/>
      </c>
      <c r="C93" s="75">
        <f>IF('L4 input'!F93&lt;&gt;"",'L4 input'!F93,"")</f>
        <v/>
      </c>
      <c r="D93" s="76">
        <f>IF('L4 input'!G93&lt;&gt;"",'L4 input'!G93,"")</f>
        <v/>
      </c>
      <c r="E93" s="76">
        <f>IF('L4 input'!M93&lt;&gt;"",'L4 input'!M93,"")</f>
        <v/>
      </c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74">
        <f>IF('L4 input'!E94&lt;&gt;"",'L4 input'!D94,"")</f>
        <v/>
      </c>
      <c r="B94" s="75">
        <f>IF('L4 input'!E94&lt;&gt;"",'L4 input'!E94,"")</f>
        <v/>
      </c>
      <c r="C94" s="75">
        <f>IF('L4 input'!F94&lt;&gt;"",'L4 input'!F94,"")</f>
        <v/>
      </c>
      <c r="D94" s="76">
        <f>IF('L4 input'!G94&lt;&gt;"",'L4 input'!G94,"")</f>
        <v/>
      </c>
      <c r="E94" s="76">
        <f>IF('L4 input'!M94&lt;&gt;"",'L4 input'!M94,"")</f>
        <v/>
      </c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74">
        <f>IF('L4 input'!E95&lt;&gt;"",'L4 input'!D95,"")</f>
        <v/>
      </c>
      <c r="B95" s="75">
        <f>IF('L4 input'!E95&lt;&gt;"",'L4 input'!E95,"")</f>
        <v/>
      </c>
      <c r="C95" s="75">
        <f>IF('L4 input'!F95&lt;&gt;"",'L4 input'!F95,"")</f>
        <v/>
      </c>
      <c r="D95" s="76">
        <f>IF('L4 input'!G95&lt;&gt;"",'L4 input'!G95,"")</f>
        <v/>
      </c>
      <c r="E95" s="76">
        <f>IF('L4 input'!M95&lt;&gt;"",'L4 input'!M95,"")</f>
        <v/>
      </c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74">
        <f>IF('L4 input'!E96&lt;&gt;"",'L4 input'!D96,"")</f>
        <v/>
      </c>
      <c r="B96" s="75">
        <f>IF('L4 input'!E96&lt;&gt;"",'L4 input'!E96,"")</f>
        <v/>
      </c>
      <c r="C96" s="75">
        <f>IF('L4 input'!F96&lt;&gt;"",'L4 input'!F96,"")</f>
        <v/>
      </c>
      <c r="D96" s="76">
        <f>IF('L4 input'!G96&lt;&gt;"",'L4 input'!G96,"")</f>
        <v/>
      </c>
      <c r="E96" s="76">
        <f>IF('L4 input'!M96&lt;&gt;"",'L4 input'!M96,"")</f>
        <v/>
      </c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74">
        <f>IF('L4 input'!E97&lt;&gt;"",'L4 input'!D97,"")</f>
        <v/>
      </c>
      <c r="B97" s="75">
        <f>IF('L4 input'!E97&lt;&gt;"",'L4 input'!E97,"")</f>
        <v/>
      </c>
      <c r="C97" s="75">
        <f>IF('L4 input'!F97&lt;&gt;"",'L4 input'!F97,"")</f>
        <v/>
      </c>
      <c r="D97" s="76">
        <f>IF('L4 input'!G97&lt;&gt;"",'L4 input'!G97,"")</f>
        <v/>
      </c>
      <c r="E97" s="76">
        <f>IF('L4 input'!M97&lt;&gt;"",'L4 input'!M97,"")</f>
        <v/>
      </c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74">
        <f>IF('L4 input'!E98&lt;&gt;"",'L4 input'!D98,"")</f>
        <v/>
      </c>
      <c r="B98" s="75">
        <f>IF('L4 input'!E98&lt;&gt;"",'L4 input'!E98,"")</f>
        <v/>
      </c>
      <c r="C98" s="75">
        <f>IF('L4 input'!F98&lt;&gt;"",'L4 input'!F98,"")</f>
        <v/>
      </c>
      <c r="D98" s="76">
        <f>IF('L4 input'!G98&lt;&gt;"",'L4 input'!G98,"")</f>
        <v/>
      </c>
      <c r="E98" s="76">
        <f>IF('L4 input'!M98&lt;&gt;"",'L4 input'!M98,"")</f>
        <v/>
      </c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74">
        <f>IF('L4 input'!E99&lt;&gt;"",'L4 input'!D99,"")</f>
        <v/>
      </c>
      <c r="B99" s="75">
        <f>IF('L4 input'!E99&lt;&gt;"",'L4 input'!E99,"")</f>
        <v/>
      </c>
      <c r="C99" s="75">
        <f>IF('L4 input'!F99&lt;&gt;"",'L4 input'!F99,"")</f>
        <v/>
      </c>
      <c r="D99" s="76">
        <f>IF('L4 input'!G99&lt;&gt;"",'L4 input'!G99,"")</f>
        <v/>
      </c>
      <c r="E99" s="76">
        <f>IF('L4 input'!M99&lt;&gt;"",'L4 input'!M99,"")</f>
        <v/>
      </c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74">
        <f>IF('L4 input'!E100&lt;&gt;"",'L4 input'!D100,"")</f>
        <v/>
      </c>
      <c r="B100" s="75">
        <f>IF('L4 input'!E100&lt;&gt;"",'L4 input'!E100,"")</f>
        <v/>
      </c>
      <c r="C100" s="75">
        <f>IF('L4 input'!F100&lt;&gt;"",'L4 input'!F100,"")</f>
        <v/>
      </c>
      <c r="D100" s="76">
        <f>IF('L4 input'!G100&lt;&gt;"",'L4 input'!G100,"")</f>
        <v/>
      </c>
      <c r="E100" s="76">
        <f>IF('L4 input'!M100&lt;&gt;"",'L4 input'!M100,"")</f>
        <v/>
      </c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74">
        <f>IF('L4 input'!E101&lt;&gt;"",'L4 input'!D101,"")</f>
        <v/>
      </c>
      <c r="B101" s="75">
        <f>IF('L4 input'!E101&lt;&gt;"",'L4 input'!E101,"")</f>
        <v/>
      </c>
      <c r="C101" s="75">
        <f>IF('L4 input'!F101&lt;&gt;"",'L4 input'!F101,"")</f>
        <v/>
      </c>
      <c r="D101" s="76">
        <f>IF('L4 input'!G101&lt;&gt;"",'L4 input'!G101,"")</f>
        <v/>
      </c>
      <c r="E101" s="76">
        <f>IF('L4 input'!M101&lt;&gt;"",'L4 input'!M101,"")</f>
        <v/>
      </c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74">
        <f>IF('L4 input'!E102&lt;&gt;"",'L4 input'!D102,"")</f>
        <v/>
      </c>
      <c r="B102" s="75">
        <f>IF('L4 input'!E102&lt;&gt;"",'L4 input'!E102,"")</f>
        <v/>
      </c>
      <c r="C102" s="75">
        <f>IF('L4 input'!F102&lt;&gt;"",'L4 input'!F102,"")</f>
        <v/>
      </c>
      <c r="D102" s="76">
        <f>IF('L4 input'!G102&lt;&gt;"",'L4 input'!G102,"")</f>
        <v/>
      </c>
      <c r="E102" s="76">
        <f>IF('L4 input'!M102&lt;&gt;"",'L4 input'!M102,"")</f>
        <v/>
      </c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74">
        <f>IF('L4 input'!E103&lt;&gt;"",'L4 input'!D103,"")</f>
        <v/>
      </c>
      <c r="B103" s="75">
        <f>IF('L4 input'!E103&lt;&gt;"",'L4 input'!E103,"")</f>
        <v/>
      </c>
      <c r="C103" s="75">
        <f>IF('L4 input'!F103&lt;&gt;"",'L4 input'!F103,"")</f>
        <v/>
      </c>
      <c r="D103" s="76">
        <f>IF('L4 input'!G103&lt;&gt;"",'L4 input'!G103,"")</f>
        <v/>
      </c>
      <c r="E103" s="76">
        <f>IF('L4 input'!M103&lt;&gt;"",'L4 input'!M103,"")</f>
        <v/>
      </c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74">
        <f>IF('L4 input'!E104&lt;&gt;"",'L4 input'!D104,"")</f>
        <v/>
      </c>
      <c r="B104" s="75">
        <f>IF('L4 input'!E104&lt;&gt;"",'L4 input'!E104,"")</f>
        <v/>
      </c>
      <c r="C104" s="75">
        <f>IF('L4 input'!F104&lt;&gt;"",'L4 input'!F104,"")</f>
        <v/>
      </c>
      <c r="D104" s="76">
        <f>IF('L4 input'!G104&lt;&gt;"",'L4 input'!G104,"")</f>
        <v/>
      </c>
      <c r="E104" s="76">
        <f>IF('L4 input'!M104&lt;&gt;"",'L4 input'!M104,"")</f>
        <v/>
      </c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74">
        <f>IF('L4 input'!E105&lt;&gt;"",'L4 input'!D105,"")</f>
        <v/>
      </c>
      <c r="B105" s="75">
        <f>IF('L4 input'!E105&lt;&gt;"",'L4 input'!E105,"")</f>
        <v/>
      </c>
      <c r="C105" s="75">
        <f>IF('L4 input'!F105&lt;&gt;"",'L4 input'!F105,"")</f>
        <v/>
      </c>
      <c r="D105" s="76">
        <f>IF('L4 input'!G105&lt;&gt;"",'L4 input'!G105,"")</f>
        <v/>
      </c>
      <c r="E105" s="76">
        <f>IF('L4 input'!M105&lt;&gt;"",'L4 input'!M105,"")</f>
        <v/>
      </c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74">
        <f>IF('L4 input'!E106&lt;&gt;"",'L4 input'!D106,"")</f>
        <v/>
      </c>
      <c r="B106" s="75">
        <f>IF('L4 input'!E106&lt;&gt;"",'L4 input'!E106,"")</f>
        <v/>
      </c>
      <c r="C106" s="75">
        <f>IF('L4 input'!F106&lt;&gt;"",'L4 input'!F106,"")</f>
        <v/>
      </c>
      <c r="D106" s="76">
        <f>IF('L4 input'!G106&lt;&gt;"",'L4 input'!G106,"")</f>
        <v/>
      </c>
      <c r="E106" s="76">
        <f>IF('L4 input'!M106&lt;&gt;"",'L4 input'!M106,"")</f>
        <v/>
      </c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/>
    <row r="108" ht="21.75" customHeight="1" s="113"/>
    <row r="109" ht="21.75" customHeight="1" s="113"/>
    <row r="110" ht="21.75" customHeight="1" s="113"/>
    <row r="111" ht="21.75" customHeight="1" s="113"/>
    <row r="112" ht="21.75" customHeight="1" s="113"/>
    <row r="113" ht="21.75" customHeight="1" s="113"/>
    <row r="114" ht="21.75" customHeight="1" s="113"/>
    <row r="115" ht="21.75" customHeight="1" s="113"/>
    <row r="116" ht="21.75" customHeight="1" s="113"/>
    <row r="117" ht="21.75" customHeight="1" s="113"/>
    <row r="118" ht="21.75" customHeight="1" s="113"/>
    <row r="119" ht="21.75" customHeight="1" s="113"/>
    <row r="120" ht="21.75" customHeight="1" s="113"/>
    <row r="121" ht="21.75" customHeight="1" s="113"/>
    <row r="122" ht="21.75" customHeight="1" s="113"/>
    <row r="123" ht="21.75" customHeight="1" s="113"/>
    <row r="124" ht="21.75" customHeight="1" s="113"/>
    <row r="125" ht="21.75" customHeight="1" s="113"/>
    <row r="126" ht="21.75" customHeight="1" s="113"/>
    <row r="127" ht="21.75" customHeight="1" s="113"/>
    <row r="128" ht="21.75" customHeight="1" s="113"/>
    <row r="129" ht="21.75" customHeight="1" s="113"/>
    <row r="130" ht="21.75" customHeight="1" s="113"/>
    <row r="131" ht="21.75" customHeight="1" s="113"/>
    <row r="132" ht="21.75" customHeight="1" s="113"/>
    <row r="133" ht="21.75" customHeight="1" s="113"/>
    <row r="134" ht="21.75" customHeight="1" s="113"/>
    <row r="135" ht="21.75" customHeight="1" s="113"/>
    <row r="136" ht="21.75" customHeight="1" s="113"/>
    <row r="137" ht="21.75" customHeight="1" s="113"/>
    <row r="138" ht="21.75" customHeight="1" s="113"/>
    <row r="139" ht="21.75" customHeight="1" s="113"/>
    <row r="140" ht="21.75" customHeight="1" s="113"/>
    <row r="141" ht="21.75" customHeight="1" s="113"/>
    <row r="142" ht="21.75" customHeight="1" s="113"/>
    <row r="143" ht="21.75" customHeight="1" s="113"/>
    <row r="144" ht="21.75" customHeight="1" s="113"/>
    <row r="145" ht="21.75" customHeight="1" s="113"/>
    <row r="146" ht="21.75" customHeight="1" s="113"/>
    <row r="147" ht="21.75" customHeight="1" s="113"/>
    <row r="148" ht="21.75" customHeight="1" s="113"/>
    <row r="149" ht="21.75" customHeight="1" s="113"/>
    <row r="150" ht="21.75" customHeight="1" s="113"/>
    <row r="151" ht="21.75" customHeight="1" s="113"/>
    <row r="152" ht="21.75" customHeight="1" s="113"/>
    <row r="153" ht="21.75" customHeight="1" s="113"/>
    <row r="154" ht="21.75" customHeight="1" s="113"/>
    <row r="155" ht="21.75" customHeight="1" s="113"/>
    <row r="156" ht="21.75" customHeight="1" s="113"/>
    <row r="157" ht="21.75" customHeight="1" s="113"/>
    <row r="158" ht="21.75" customHeight="1" s="113"/>
    <row r="159" ht="21.75" customHeight="1" s="113"/>
    <row r="160" ht="21.75" customHeight="1" s="113"/>
    <row r="161" ht="21.75" customHeight="1" s="113"/>
    <row r="162" ht="21.75" customHeight="1" s="113"/>
    <row r="163" ht="21.75" customHeight="1" s="113"/>
    <row r="164" ht="21.75" customHeight="1" s="113"/>
    <row r="165" ht="21.75" customHeight="1" s="113"/>
    <row r="166" ht="21.75" customHeight="1" s="113"/>
    <row r="167" ht="21.75" customHeight="1" s="113"/>
    <row r="168" ht="21.75" customHeight="1" s="113"/>
    <row r="169" ht="21.75" customHeight="1" s="113"/>
    <row r="170" ht="21.75" customHeight="1" s="113"/>
    <row r="171" ht="21.75" customHeight="1" s="113"/>
    <row r="172" ht="21.75" customHeight="1" s="113"/>
    <row r="173" ht="21.75" customHeight="1" s="113"/>
    <row r="174" ht="21.75" customHeight="1" s="113"/>
    <row r="175" ht="21.75" customHeight="1" s="113"/>
    <row r="176" ht="21.75" customHeight="1" s="113"/>
    <row r="177" ht="21.75" customHeight="1" s="113"/>
    <row r="178" ht="21.75" customHeight="1" s="113"/>
    <row r="179" ht="21.75" customHeight="1" s="113"/>
    <row r="180" ht="21.75" customHeight="1" s="113"/>
    <row r="181" ht="21.75" customHeight="1" s="113"/>
    <row r="182" ht="21.75" customHeight="1" s="113"/>
    <row r="183" ht="21.75" customHeight="1" s="113"/>
    <row r="184" ht="21.75" customHeight="1" s="113"/>
    <row r="185" ht="21.75" customHeight="1" s="113"/>
    <row r="186" ht="21.75" customHeight="1" s="113"/>
    <row r="187" ht="21.75" customHeight="1" s="113"/>
    <row r="188" ht="21.75" customHeight="1" s="113"/>
    <row r="189" ht="21.75" customHeight="1" s="113"/>
    <row r="190" ht="21.75" customHeight="1" s="113"/>
    <row r="191" ht="21.75" customHeight="1" s="113"/>
    <row r="192" ht="21.75" customHeight="1" s="113"/>
    <row r="193" ht="21.75" customHeight="1" s="113"/>
    <row r="194" ht="21.75" customHeight="1" s="113"/>
    <row r="195" ht="21.75" customHeight="1" s="113"/>
    <row r="196" ht="21.75" customHeight="1" s="113"/>
    <row r="197" ht="21.75" customHeight="1" s="113"/>
    <row r="198" ht="21.75" customHeight="1" s="113"/>
    <row r="199" ht="21.75" customHeight="1" s="113"/>
    <row r="200" ht="21.75" customHeight="1" s="113"/>
    <row r="201" ht="21.75" customHeight="1" s="113"/>
    <row r="202" ht="21.75" customHeight="1" s="113"/>
    <row r="203" ht="21.75" customHeight="1" s="113"/>
    <row r="204" ht="21.75" customHeight="1" s="113"/>
    <row r="205" ht="21.75" customHeight="1" s="113"/>
    <row r="206" ht="21.75" customHeight="1" s="113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C2F"/>
  <mergeCells count="8">
    <mergeCell ref="D4:D6"/>
    <mergeCell ref="A4:A6"/>
    <mergeCell ref="A2:LR2"/>
    <mergeCell ref="B4:B6"/>
    <mergeCell ref="E4:E6"/>
    <mergeCell ref="A1:LR1"/>
    <mergeCell ref="A3:LR3"/>
    <mergeCell ref="C4:C6"/>
  </mergeCells>
  <conditionalFormatting sqref="E7:E106">
    <cfRule type="containsText" priority="65" operator="containsText" dxfId="64" text="Completed">
      <formula>NOT(ISERROR(SEARCH("Completed",E7)))</formula>
    </cfRule>
    <cfRule type="containsText" priority="59" operator="containsText" dxfId="63" text="TBD">
      <formula>NOT(ISERROR(SEARCH("TBD",E7)))</formula>
    </cfRule>
    <cfRule type="containsText" priority="60" operator="containsText" dxfId="62" text="Planned">
      <formula>NOT(ISERROR(SEARCH("Planned",E7)))</formula>
    </cfRule>
    <cfRule type="containsText" priority="61" operator="containsText" dxfId="61" text="Aligned">
      <formula>NOT(ISERROR(SEARCH("Aligned",E7)))</formula>
    </cfRule>
    <cfRule type="containsText" priority="62" operator="containsText" dxfId="60" text="Dependency">
      <formula>NOT(ISERROR(SEARCH("Dependency",E7)))</formula>
    </cfRule>
    <cfRule type="containsText" priority="63" operator="containsText" dxfId="59" text="Risk">
      <formula>NOT(ISERROR(SEARCH("Risk",E7)))</formula>
    </cfRule>
    <cfRule type="containsText" priority="64" operator="containsText" dxfId="58" text="Blocker">
      <formula>NOT(ISERROR(SEARCH("Blocker",E7)))</formula>
    </cfRule>
  </conditionalFormatting>
  <conditionalFormatting sqref="F4:LR6">
    <cfRule type="expression" priority="3" dxfId="54">
      <formula>MOD(F$6-1,13)=0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00000000-000E-0000-0001-000000000001}">
            <xm:f>AND(F$4='L4 input'!$V$3,F$6='L4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F4:LR4</xm:sqref>
        </x14:conditionalFormatting>
        <x14:conditionalFormatting xmlns:xm="http://schemas.microsoft.com/office/excel/2006/main">
          <x14:cfRule type="expression" priority="102" id="{00000000-000E-0000-0002-000000000002}">
            <xm:f>(F$4*100+F$6)&gt;('L4 input'!$S$3*100+'L4 input'!$R$3)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103" id="{00000000-000E-0000-0003-000000000003}">
            <xm:f>MOD(F$4-'L4 input'!$Q$3,6)=0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104" id="{00000000-000E-0000-0004-000000000004}">
            <xm:f>MOD(F$4-'L4 input'!$Q$3,6)=1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105" id="{00000000-000E-0000-0005-000000000005}">
            <xm:f>MOD(F$4-'L4 input'!$Q$3,6)=2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106" id="{00000000-000E-0000-0006-000000000006}">
            <xm:f>MOD(F$4-'L4 input'!$Q$3,6)=3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107" id="{00000000-000E-0000-0007-000000000007}">
            <xm:f>MOD(F$4-'L4 input'!$Q$3,6)=4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108" id="{00000000-000E-0000-0008-000000000008}">
            <xm:f>MOD(F$4-'L4 input'!$Q$3,6)=5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F4:LR6</xm:sqref>
        </x14:conditionalFormatting>
        <x14:conditionalFormatting xmlns:xm="http://schemas.microsoft.com/office/excel/2006/main">
          <x14:cfRule type="expression" priority="109" id="{00000000-000E-0000-0009-000000000009}">
            <xm:f>AND(F$4='L4 input'!$V$3,F$6='L4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F5:LR105</xm:sqref>
        </x14:conditionalFormatting>
        <x14:conditionalFormatting xmlns:xm="http://schemas.microsoft.com/office/excel/2006/main">
          <x14:cfRule type="expression" priority="110" id="{00000000-000E-0000-000A-00000000000A}">
            <xm:f>AND(F$4='L4 input'!$V$3,F$6='L4 input'!$U$3)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F106:LR106</xm:sqref>
        </x14:conditionalFormatting>
        <x14:conditionalFormatting xmlns:xm="http://schemas.microsoft.com/office/excel/2006/main">
          <x14:cfRule type="expression" priority="111" id="{00000000-000E-0000-000B-00000000000B}">
            <xm:f>(F$4*100+F$6)&gt;('L4 input'!$S$3*100+'L4 input'!$R$3)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F7:LR106</xm:sqref>
        </x14:conditionalFormatting>
        <x14:conditionalFormatting xmlns:xm="http://schemas.microsoft.com/office/excel/2006/main">
          <x14:cfRule type="expression" priority="112" id="{00000000-000E-0000-000C-00000000000C}">
            <xm:f>AND(MOD(ROW()-7,50)=0,'L4 input'!$E7&lt;&gt;"",(F$4*100+F$6)&gt;=('L4 input'!$I7*100+'L4 input'!$H7),(F$4*100+F$6)&lt;=('L4 input'!$K7*100+'L4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13" id="{00000000-000E-0000-000D-00000000000D}">
            <xm:f>AND(MOD(ROW()-7,50)=1,'L4 input'!$E7&lt;&gt;"",(F$4*100+F$6)&gt;=('L4 input'!$I7*100+'L4 input'!$H7),(F$4*100+F$6)&lt;=('L4 input'!$K7*100+'L4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14" id="{00000000-000E-0000-000E-00000000000E}">
            <xm:f>AND(MOD(ROW()-7,50)=2,'L4 input'!$E7&lt;&gt;"",(F$4*100+F$6)&gt;=('L4 input'!$I7*100+'L4 input'!$H7),(F$4*100+F$6)&lt;=('L4 input'!$K7*100+'L4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15" id="{00000000-000E-0000-000F-00000000000F}">
            <xm:f>AND(MOD(ROW()-7,50)=3,'L4 input'!$E7&lt;&gt;"",(F$4*100+F$6)&gt;=('L4 input'!$I7*100+'L4 input'!$H7),(F$4*100+F$6)&lt;=('L4 input'!$K7*100+'L4 input'!$J7))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116" id="{00000000-000E-0000-0010-000000000010}">
            <xm:f>AND(MOD(ROW()-7,50)=4,'L4 input'!$E7&lt;&gt;"",(F$4*100+F$6)&gt;=('L4 input'!$I7*100+'L4 input'!$H7),(F$4*100+F$6)&lt;=('L4 input'!$K7*100+'L4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17" id="{00000000-000E-0000-0011-000000000011}">
            <xm:f>AND(MOD(ROW()-7,50)=5,'L4 input'!$E7&lt;&gt;"",(F$4*100+F$6)&gt;=('L4 input'!$I7*100+'L4 input'!$H7),(F$4*100+F$6)&lt;=('L4 input'!$K7*100+'L4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18" id="{00000000-000E-0000-0012-000000000012}">
            <xm:f>AND(MOD(ROW()-7,50)=6,'L4 input'!$E7&lt;&gt;"",(F$4*100+F$6)&gt;=('L4 input'!$I7*100+'L4 input'!$H7),(F$4*100+F$6)&lt;=('L4 input'!$K7*100+'L4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19" id="{00000000-000E-0000-0013-000000000013}">
            <xm:f>AND(MOD(ROW()-7,50)=7,'L4 input'!$E7&lt;&gt;"",(F$4*100+F$6)&gt;=('L4 input'!$I7*100+'L4 input'!$H7),(F$4*100+F$6)&lt;=('L4 input'!$K7*100+'L4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20" id="{00000000-000E-0000-0014-000000000014}">
            <xm:f>AND(MOD(ROW()-7,50)=8,'L4 input'!$E7&lt;&gt;"",(F$4*100+F$6)&gt;=('L4 input'!$I7*100+'L4 input'!$H7),(F$4*100+F$6)&lt;=('L4 input'!$K7*100+'L4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21" id="{00000000-000E-0000-0015-000000000015}">
            <xm:f>AND(MOD(ROW()-7,50)=9,'L4 input'!$E7&lt;&gt;"",(F$4*100+F$6)&gt;=('L4 input'!$I7*100+'L4 input'!$H7),(F$4*100+F$6)&lt;=('L4 input'!$K7*100+'L4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22" id="{00000000-000E-0000-0016-000000000016}">
            <xm:f>AND(MOD(ROW()-7,50)=10,'L4 input'!$E7&lt;&gt;"",(F$4*100+F$6)&gt;=('L4 input'!$I7*100+'L4 input'!$H7),(F$4*100+F$6)&lt;=('L4 input'!$K7*100+'L4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23" id="{00000000-000E-0000-0017-000000000017}">
            <xm:f>AND(MOD(ROW()-7,50)=11,'L4 input'!$E7&lt;&gt;"",(F$4*100+F$6)&gt;=('L4 input'!$I7*100+'L4 input'!$H7),(F$4*100+F$6)&lt;=('L4 input'!$K7*100+'L4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24" id="{00000000-000E-0000-0018-000000000018}">
            <xm:f>AND(MOD(ROW()-7,50)=12,'L4 input'!$E7&lt;&gt;"",(F$4*100+F$6)&gt;=('L4 input'!$I7*100+'L4 input'!$H7),(F$4*100+F$6)&lt;=('L4 input'!$K7*100+'L4 input'!$J7))</xm:f>
            <x14:dxf>
              <font>
                <sz val="8"/>
                <color rgb="FFE91E63"/>
              </font>
              <fill>
                <patternFill>
                  <bgColor rgb="FFE91E63"/>
                </patternFill>
              </fill>
            </x14:dxf>
          </x14:cfRule>
          <x14:cfRule type="expression" priority="125" id="{00000000-000E-0000-0019-000000000019}">
            <xm:f>AND(MOD(ROW()-7,50)=13,'L4 input'!$E7&lt;&gt;"",(F$4*100+F$6)&gt;=('L4 input'!$I7*100+'L4 input'!$H7),(F$4*100+F$6)&lt;=('L4 input'!$K7*100+'L4 input'!$J7))</xm:f>
            <x14:dxf>
              <font>
                <sz val="8"/>
                <color rgb="FF1ABC9C"/>
              </font>
              <fill>
                <patternFill>
                  <bgColor rgb="FF1ABC9C"/>
                </patternFill>
              </fill>
            </x14:dxf>
          </x14:cfRule>
          <x14:cfRule type="expression" priority="126" id="{00000000-000E-0000-001A-00000000001A}">
            <xm:f>AND(MOD(ROW()-7,50)=14,'L4 input'!$E7&lt;&gt;"",(F$4*100+F$6)&gt;=('L4 input'!$I7*100+'L4 input'!$H7),(F$4*100+F$6)&lt;=('L4 input'!$K7*100+'L4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27" id="{00000000-000E-0000-001B-00000000001B}">
            <xm:f>AND(MOD(ROW()-7,50)=15,'L4 input'!$E7&lt;&gt;"",(F$4*100+F$6)&gt;=('L4 input'!$I7*100+'L4 input'!$H7),(F$4*100+F$6)&lt;=('L4 input'!$K7*100+'L4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28" id="{00000000-000E-0000-001C-00000000001C}">
            <xm:f>AND(MOD(ROW()-7,50)=16,'L4 input'!$E7&lt;&gt;"",(F$4*100+F$6)&gt;=('L4 input'!$I7*100+'L4 input'!$H7),(F$4*100+F$6)&lt;=('L4 input'!$K7*100+'L4 input'!$J7))</xm:f>
            <x14:dxf>
              <font>
                <sz val="8"/>
                <color rgb="FF00B0F0"/>
              </font>
              <fill>
                <patternFill>
                  <bgColor rgb="FF00B0F0"/>
                </patternFill>
              </fill>
            </x14:dxf>
          </x14:cfRule>
          <x14:cfRule type="expression" priority="129" id="{00000000-000E-0000-001D-00000000001D}">
            <xm:f>AND(MOD(ROW()-7,50)=17,'L4 input'!$E7&lt;&gt;"",(F$4*100+F$6)&gt;=('L4 input'!$I7*100+'L4 input'!$H7),(F$4*100+F$6)&lt;=('L4 input'!$K7*100+'L4 input'!$J7))</xm:f>
            <x14:dxf>
              <font>
                <sz val="8"/>
                <color rgb="FFFF0000"/>
              </font>
              <fill>
                <patternFill>
                  <bgColor rgb="FFFF0000"/>
                </patternFill>
              </fill>
            </x14:dxf>
          </x14:cfRule>
          <x14:cfRule type="expression" priority="130" id="{00000000-000E-0000-001E-00000000001E}">
            <xm:f>AND(MOD(ROW()-7,50)=18,'L4 input'!$E7&lt;&gt;"",(F$4*100+F$6)&gt;=('L4 input'!$I7*100+'L4 input'!$H7),(F$4*100+F$6)&lt;=('L4 input'!$K7*100+'L4 input'!$J7))</xm:f>
            <x14:dxf>
              <font>
                <sz val="8"/>
                <color rgb="FF92D050"/>
              </font>
              <fill>
                <patternFill>
                  <bgColor rgb="FF92D050"/>
                </patternFill>
              </fill>
            </x14:dxf>
          </x14:cfRule>
          <x14:cfRule type="expression" priority="131" id="{00000000-000E-0000-001F-00000000001F}">
            <xm:f>AND(MOD(ROW()-7,50)=19,'L4 input'!$E7&lt;&gt;"",(F$4*100+F$6)&gt;=('L4 input'!$I7*100+'L4 input'!$H7),(F$4*100+F$6)&lt;=('L4 input'!$K7*100+'L4 input'!$J7))</xm:f>
            <x14:dxf>
              <font>
                <sz val="8"/>
                <color rgb="FF4BACC6"/>
              </font>
              <fill>
                <patternFill>
                  <bgColor rgb="FF4BACC6"/>
                </patternFill>
              </fill>
            </x14:dxf>
          </x14:cfRule>
          <x14:cfRule type="expression" priority="132" id="{00000000-000E-0000-0020-000000000020}">
            <xm:f>AND(MOD(ROW()-7,50)=20,'L4 input'!$E7&lt;&gt;"",(F$4*100+F$6)&gt;=('L4 input'!$I7*100+'L4 input'!$H7),(F$4*100+F$6)&lt;=('L4 input'!$K7*100+'L4 input'!$J7))</xm:f>
            <x14:dxf>
              <font>
                <sz val="8"/>
                <color rgb="FFC55A11"/>
              </font>
              <fill>
                <patternFill>
                  <bgColor rgb="FFC55A11"/>
                </patternFill>
              </fill>
            </x14:dxf>
          </x14:cfRule>
          <x14:cfRule type="expression" priority="133" id="{00000000-000E-0000-0021-000000000021}">
            <xm:f>AND(MOD(ROW()-7,50)=21,'L4 input'!$E7&lt;&gt;"",(F$4*100+F$6)&gt;=('L4 input'!$I7*100+'L4 input'!$H7),(F$4*100+F$6)&lt;=('L4 input'!$K7*100+'L4 input'!$J7))</xm:f>
            <x14:dxf>
              <font>
                <sz val="8"/>
                <color rgb="FF4A8136"/>
              </font>
              <fill>
                <patternFill>
                  <bgColor rgb="FF4A8136"/>
                </patternFill>
              </fill>
            </x14:dxf>
          </x14:cfRule>
          <x14:cfRule type="expression" priority="134" id="{00000000-000E-0000-0022-000000000022}">
            <xm:f>AND(MOD(ROW()-7,50)=22,'L4 input'!$E7&lt;&gt;"",(F$4*100+F$6)&gt;=('L4 input'!$I7*100+'L4 input'!$H7),(F$4*100+F$6)&lt;=('L4 input'!$K7*100+'L4 input'!$J7))</xm:f>
            <x14:dxf>
              <font>
                <sz val="8"/>
                <color rgb="FF843C0C"/>
              </font>
              <fill>
                <patternFill>
                  <bgColor rgb="FF843C0C"/>
                </patternFill>
              </fill>
            </x14:dxf>
          </x14:cfRule>
          <x14:cfRule type="expression" priority="135" id="{00000000-000E-0000-0023-000000000023}">
            <xm:f>AND(MOD(ROW()-7,50)=23,'L4 input'!$E7&lt;&gt;"",(F$4*100+F$6)&gt;=('L4 input'!$I7*100+'L4 input'!$H7),(F$4*100+F$6)&lt;=('L4 input'!$K7*100+'L4 input'!$J7))</xm:f>
            <x14:dxf>
              <font>
                <sz val="8"/>
                <color rgb="FF2E75B6"/>
              </font>
              <fill>
                <patternFill>
                  <bgColor rgb="FF2E75B6"/>
                </patternFill>
              </fill>
            </x14:dxf>
          </x14:cfRule>
          <x14:cfRule type="expression" priority="136" id="{00000000-000E-0000-0024-000000000024}">
            <xm:f>AND(MOD(ROW()-7,50)=24,'L4 input'!$E7&lt;&gt;"",(F$4*100+F$6)&gt;=('L4 input'!$I7*100+'L4 input'!$H7),(F$4*100+F$6)&lt;=('L4 input'!$K7*100+'L4 input'!$J7))</xm:f>
            <x14:dxf>
              <font>
                <sz val="8"/>
                <color rgb="FF833C00"/>
              </font>
              <fill>
                <patternFill>
                  <bgColor rgb="FF833C00"/>
                </patternFill>
              </fill>
            </x14:dxf>
          </x14:cfRule>
          <x14:cfRule type="expression" priority="137" id="{00000000-000E-0000-0025-000000000025}">
            <xm:f>AND(MOD(ROW()-7,50)=25,'L4 input'!$E7&lt;&gt;"",(F$4*100+F$6)&gt;=('L4 input'!$I7*100+'L4 input'!$H7),(F$4*100+F$6)&lt;=('L4 input'!$K7*100+'L4 input'!$J7))</xm:f>
            <x14:dxf>
              <font>
                <sz val="8"/>
                <color rgb="FFBF8E00"/>
              </font>
              <fill>
                <patternFill>
                  <bgColor rgb="FFBF8E00"/>
                </patternFill>
              </fill>
            </x14:dxf>
          </x14:cfRule>
          <x14:cfRule type="expression" priority="138" id="{00000000-000E-0000-0026-000000000026}">
            <xm:f>AND(MOD(ROW()-7,50)=26,'L4 input'!$E7&lt;&gt;"",(F$4*100+F$6)&gt;=('L4 input'!$I7*100+'L4 input'!$H7),(F$4*100+F$6)&lt;=('L4 input'!$K7*100+'L4 input'!$J7))</xm:f>
            <x14:dxf>
              <font>
                <sz val="8"/>
                <color rgb="FF375623"/>
              </font>
              <fill>
                <patternFill>
                  <bgColor rgb="FF375623"/>
                </patternFill>
              </fill>
            </x14:dxf>
          </x14:cfRule>
          <x14:cfRule type="expression" priority="139" id="{00000000-000E-0000-0027-000000000027}">
            <xm:f>AND(MOD(ROW()-7,50)=27,'L4 input'!$E7&lt;&gt;"",(F$4*100+F$6)&gt;=('L4 input'!$I7*100+'L4 input'!$H7),(F$4*100+F$6)&lt;=('L4 input'!$K7*100+'L4 input'!$J7))</xm:f>
            <x14:dxf>
              <font>
                <sz val="8"/>
                <color rgb="FF1F3864"/>
              </font>
              <fill>
                <patternFill>
                  <bgColor rgb="FF1F3864"/>
                </patternFill>
              </fill>
            </x14:dxf>
          </x14:cfRule>
          <x14:cfRule type="expression" priority="140" id="{00000000-000E-0000-0028-000000000028}">
            <xm:f>AND(MOD(ROW()-7,50)=28,'L4 input'!$E7&lt;&gt;"",(F$4*100+F$6)&gt;=('L4 input'!$I7*100+'L4 input'!$H7),(F$4*100+F$6)&lt;=('L4 input'!$K7*100+'L4 input'!$J7))</xm:f>
            <x14:dxf>
              <font>
                <sz val="8"/>
                <color rgb="FFC00000"/>
              </font>
              <fill>
                <patternFill>
                  <bgColor rgb="FFC00000"/>
                </patternFill>
              </fill>
            </x14:dxf>
          </x14:cfRule>
          <x14:cfRule type="expression" priority="141" id="{00000000-000E-0000-0029-000000000029}">
            <xm:f>AND(MOD(ROW()-7,50)=29,'L4 input'!$E7&lt;&gt;"",(F$4*100+F$6)&gt;=('L4 input'!$I7*100+'L4 input'!$H7),(F$4*100+F$6)&lt;=('L4 input'!$K7*100+'L4 input'!$J7))</xm:f>
            <x14:dxf>
              <font>
                <sz val="8"/>
                <color rgb="FF2C5494"/>
              </font>
              <fill>
                <patternFill>
                  <bgColor rgb="FF2C5494"/>
                </patternFill>
              </fill>
            </x14:dxf>
          </x14:cfRule>
          <x14:cfRule type="expression" priority="142" id="{00000000-000E-0000-002A-00000000002A}">
            <xm:f>AND(MOD(ROW()-7,50)=30,'L4 input'!$E7&lt;&gt;"",(F$4*100+F$6)&gt;=('L4 input'!$I7*100+'L4 input'!$H7),(F$4*100+F$6)&lt;=('L4 input'!$K7*100+'L4 input'!$J7))</xm:f>
            <x14:dxf>
              <font>
                <sz val="8"/>
                <color rgb="FFF4B183"/>
              </font>
              <fill>
                <patternFill>
                  <bgColor rgb="FFF4B183"/>
                </patternFill>
              </fill>
            </x14:dxf>
          </x14:cfRule>
          <x14:cfRule type="expression" priority="143" id="{00000000-000E-0000-002B-00000000002B}">
            <xm:f>AND(MOD(ROW()-7,50)=31,'L4 input'!$E7&lt;&gt;"",(F$4*100+F$6)&gt;=('L4 input'!$I7*100+'L4 input'!$H7),(F$4*100+F$6)&lt;=('L4 input'!$K7*100+'L4 input'!$J7))</xm:f>
            <x14:dxf>
              <font>
                <sz val="8"/>
                <color rgb="FFA9D18E"/>
              </font>
              <fill>
                <patternFill>
                  <bgColor rgb="FFA9D18E"/>
                </patternFill>
              </fill>
            </x14:dxf>
          </x14:cfRule>
          <x14:cfRule type="expression" priority="144" id="{00000000-000E-0000-002C-00000000002C}">
            <xm:f>AND(MOD(ROW()-7,50)=32,'L4 input'!$E7&lt;&gt;"",(F$4*100+F$6)&gt;=('L4 input'!$I7*100+'L4 input'!$H7),(F$4*100+F$6)&lt;=('L4 input'!$K7*100+'L4 input'!$J7))</xm:f>
            <x14:dxf>
              <font>
                <sz val="8"/>
                <color rgb="FFFF99CC"/>
              </font>
              <fill>
                <patternFill>
                  <bgColor rgb="FFFF99CC"/>
                </patternFill>
              </fill>
            </x14:dxf>
          </x14:cfRule>
          <x14:cfRule type="expression" priority="145" id="{00000000-000E-0000-002D-00000000002D}">
            <xm:f>AND(MOD(ROW()-7,50)=33,'L4 input'!$E7&lt;&gt;"",(F$4*100+F$6)&gt;=('L4 input'!$I7*100+'L4 input'!$H7),(F$4*100+F$6)&lt;=('L4 input'!$K7*100+'L4 input'!$J7))</xm:f>
            <x14:dxf>
              <font>
                <sz val="8"/>
                <color rgb="FFD6DEE9"/>
              </font>
              <fill>
                <patternFill>
                  <bgColor rgb="FFD6DEE9"/>
                </patternFill>
              </fill>
            </x14:dxf>
          </x14:cfRule>
          <x14:cfRule type="expression" priority="146" id="{00000000-000E-0000-002E-00000000002E}">
            <xm:f>AND(MOD(ROW()-7,50)=34,'L4 input'!$E7&lt;&gt;"",(F$4*100+F$6)&gt;=('L4 input'!$I7*100+'L4 input'!$H7),(F$4*100+F$6)&lt;=('L4 input'!$K7*100+'L4 input'!$J7))</xm:f>
            <x14:dxf>
              <font>
                <sz val="8"/>
                <color rgb="FFB4C6E7"/>
              </font>
              <fill>
                <patternFill>
                  <bgColor rgb="FFB4C6E7"/>
                </patternFill>
              </fill>
            </x14:dxf>
          </x14:cfRule>
          <x14:cfRule type="expression" priority="147" id="{00000000-000E-0000-002F-00000000002F}">
            <xm:f>AND(MOD(ROW()-7,50)=35,'L4 input'!$E7&lt;&gt;"",(F$4*100+F$6)&gt;=('L4 input'!$I7*100+'L4 input'!$H7),(F$4*100+F$6)&lt;=('L4 input'!$K7*100+'L4 input'!$J7))</xm:f>
            <x14:dxf>
              <font>
                <sz val="8"/>
                <color rgb="FFFFD966"/>
              </font>
              <fill>
                <patternFill>
                  <bgColor rgb="FFFFD966"/>
                </patternFill>
              </fill>
            </x14:dxf>
          </x14:cfRule>
          <x14:cfRule type="expression" priority="148" id="{00000000-000E-0000-0030-000000000030}">
            <xm:f>AND(MOD(ROW()-7,50)=36,'L4 input'!$E7&lt;&gt;"",(F$4*100+F$6)&gt;=('L4 input'!$I7*100+'L4 input'!$H7),(F$4*100+F$6)&lt;=('L4 input'!$K7*100+'L4 input'!$J7))</xm:f>
            <x14:dxf>
              <font>
                <sz val="8"/>
                <color rgb="FFC9C9C9"/>
              </font>
              <fill>
                <patternFill>
                  <bgColor rgb="FFC9C9C9"/>
                </patternFill>
              </fill>
            </x14:dxf>
          </x14:cfRule>
          <x14:cfRule type="expression" priority="149" id="{00000000-000E-0000-0031-000000000031}">
            <xm:f>AND(MOD(ROW()-7,50)=37,'L4 input'!$E7&lt;&gt;"",(F$4*100+F$6)&gt;=('L4 input'!$I7*100+'L4 input'!$H7),(F$4*100+F$6)&lt;=('L4 input'!$K7*100+'L4 input'!$J7))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150" id="{00000000-000E-0000-0032-000000000032}">
            <xm:f>AND(MOD(ROW()-7,50)=38,'L4 input'!$E7&lt;&gt;"",(F$4*100+F$6)&gt;=('L4 input'!$I7*100+'L4 input'!$H7),(F$4*100+F$6)&lt;=('L4 input'!$K7*100+'L4 input'!$J7))</xm:f>
            <x14:dxf>
              <font>
                <sz val="8"/>
                <color rgb="FFED7D31"/>
              </font>
              <fill>
                <patternFill>
                  <bgColor rgb="FFED7D31"/>
                </patternFill>
              </fill>
            </x14:dxf>
          </x14:cfRule>
          <x14:cfRule type="expression" priority="151" id="{00000000-000E-0000-0033-000000000033}">
            <xm:f>AND(MOD(ROW()-7,50)=39,'L4 input'!$E7&lt;&gt;"",(F$4*100+F$6)&gt;=('L4 input'!$I7*100+'L4 input'!$H7),(F$4*100+F$6)&lt;=('L4 input'!$K7*100+'L4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152" id="{00000000-000E-0000-0034-000000000034}">
            <xm:f>AND(MOD(ROW()-7,50)=40,'L4 input'!$E7&lt;&gt;"",(F$4*100+F$6)&gt;=('L4 input'!$I7*100+'L4 input'!$H7),(F$4*100+F$6)&lt;=('L4 input'!$K7*100+'L4 input'!$J7))</xm:f>
            <x14:dxf>
              <font>
                <sz val="8"/>
                <color rgb="FF7030A0"/>
              </font>
              <fill>
                <patternFill>
                  <bgColor rgb="FF7030A0"/>
                </patternFill>
              </fill>
            </x14:dxf>
          </x14:cfRule>
          <x14:cfRule type="expression" priority="153" id="{00000000-000E-0000-0035-000000000035}">
            <xm:f>AND(MOD(ROW()-7,50)=41,'L4 input'!$E7&lt;&gt;"",(F$4*100+F$6)&gt;=('L4 input'!$I7*100+'L4 input'!$H7),(F$4*100+F$6)&lt;=('L4 input'!$K7*100+'L4 input'!$J7))</xm:f>
            <x14:dxf>
              <font>
                <sz val="8"/>
                <color rgb="FFFF6B6B"/>
              </font>
              <fill>
                <patternFill>
                  <bgColor rgb="FFFF6B6B"/>
                </patternFill>
              </fill>
            </x14:dxf>
          </x14:cfRule>
          <x14:cfRule type="expression" priority="154" id="{00000000-000E-0000-0036-000000000036}">
            <xm:f>AND(MOD(ROW()-7,50)=42,'L4 input'!$E7&lt;&gt;"",(F$4*100+F$6)&gt;=('L4 input'!$I7*100+'L4 input'!$H7),(F$4*100+F$6)&lt;=('L4 input'!$K7*100+'L4 input'!$J7))</xm:f>
            <x14:dxf>
              <font>
                <sz val="8"/>
                <color rgb="FF00BCD4"/>
              </font>
              <fill>
                <patternFill>
                  <bgColor rgb="FF00BCD4"/>
                </patternFill>
              </fill>
            </x14:dxf>
          </x14:cfRule>
          <x14:cfRule type="expression" priority="155" id="{00000000-000E-0000-0037-000000000037}">
            <xm:f>AND(MOD(ROW()-7,50)=43,'L4 input'!$E7&lt;&gt;"",(F$4*100+F$6)&gt;=('L4 input'!$I7*100+'L4 input'!$H7),(F$4*100+F$6)&lt;=('L4 input'!$K7*100+'L4 input'!$J7))</xm:f>
            <x14:dxf>
              <font>
                <sz val="8"/>
                <color rgb="FF2ECC71"/>
              </font>
              <fill>
                <patternFill>
                  <bgColor rgb="FF2ECC71"/>
                </patternFill>
              </fill>
            </x14:dxf>
          </x14:cfRule>
          <x14:cfRule type="expression" priority="156" id="{00000000-000E-0000-0038-000000000038}">
            <xm:f>AND(MOD(ROW()-7,50)=44,'L4 input'!$E7&lt;&gt;"",(F$4*100+F$6)&gt;=('L4 input'!$I7*100+'L4 input'!$H7),(F$4*100+F$6)&lt;=('L4 input'!$K7*100+'L4 input'!$J7))</xm:f>
            <x14:dxf>
              <font>
                <sz val="8"/>
                <color rgb="FFF39C12"/>
              </font>
              <fill>
                <patternFill>
                  <bgColor rgb="FFF39C12"/>
                </patternFill>
              </fill>
            </x14:dxf>
          </x14:cfRule>
          <x14:cfRule type="expression" priority="157" id="{00000000-000E-0000-0039-000000000039}">
            <xm:f>AND(MOD(ROW()-7,50)=45,'L4 input'!$E7&lt;&gt;"",(F$4*100+F$6)&gt;=('L4 input'!$I7*100+'L4 input'!$H7),(F$4*100+F$6)&lt;=('L4 input'!$K7*100+'L4 input'!$J7))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158" id="{00000000-000E-0000-003A-00000000003A}">
            <xm:f>AND(MOD(ROW()-7,50)=46,'L4 input'!$E7&lt;&gt;"",(F$4*100+F$6)&gt;=('L4 input'!$I7*100+'L4 input'!$H7),(F$4*100+F$6)&lt;=('L4 input'!$K7*100+'L4 input'!$J7))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159" id="{00000000-000E-0000-003B-00000000003B}">
            <xm:f>AND(MOD(ROW()-7,50)=47,'L4 input'!$E7&lt;&gt;"",(F$4*100+F$6)&gt;=('L4 input'!$I7*100+'L4 input'!$H7),(F$4*100+F$6)&lt;=('L4 input'!$K7*100+'L4 input'!$J7))</xm:f>
            <x14:dxf>
              <font>
                <sz val="8"/>
                <color rgb="FF3498DB"/>
              </font>
              <fill>
                <patternFill>
                  <bgColor rgb="FF3498DB"/>
                </patternFill>
              </fill>
            </x14:dxf>
          </x14:cfRule>
          <x14:cfRule type="expression" priority="160" id="{00000000-000E-0000-003C-00000000003C}">
            <xm:f>AND(MOD(ROW()-7,50)=48,'L4 input'!$E7&lt;&gt;"",(F$4*100+F$6)&gt;=('L4 input'!$I7*100+'L4 input'!$H7),(F$4*100+F$6)&lt;=('L4 input'!$K7*100+'L4 input'!$J7))</xm:f>
            <x14:dxf>
              <font>
                <sz val="8"/>
                <color rgb="FF5B9BD5"/>
              </font>
              <fill>
                <patternFill>
                  <bgColor rgb="FF5B9BD5"/>
                </patternFill>
              </fill>
            </x14:dxf>
          </x14:cfRule>
          <x14:cfRule type="expression" priority="161" id="{00000000-000E-0000-003D-00000000003D}">
            <xm:f>AND(MOD(ROW()-7,50)=49,'L4 input'!$E7&lt;&gt;"",(F$4*100+F$6)&gt;=('L4 input'!$I7*100+'L4 input'!$H7),(F$4*100+F$6)&lt;=('L4 input'!$K7*100+'L4 input'!$J7))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m:sqref>F7:LR106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L4 input</vt:lpstr>
      <vt:lpstr>L4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